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part" sheetId="1" r:id="rId4"/>
  </sheets>
  <definedNames/>
  <calcPr/>
</workbook>
</file>

<file path=xl/sharedStrings.xml><?xml version="1.0" encoding="utf-8"?>
<sst xmlns="http://schemas.openxmlformats.org/spreadsheetml/2006/main" count="3771" uniqueCount="761">
  <si>
    <t>Top level category and sub categories. Can have more subcategories if necessary.</t>
  </si>
  <si>
    <t>Name that is displayed in price book and on proposals/invoices
Required</t>
  </si>
  <si>
    <t>Payzer generated, not provided by merchant</t>
  </si>
  <si>
    <t>Required if merchant has sync enabled</t>
  </si>
  <si>
    <t>Y/N. Required if merchant has tax collection enabled</t>
  </si>
  <si>
    <t>Cost paid by merchant</t>
  </si>
  <si>
    <t>Price charged to customers</t>
  </si>
  <si>
    <t>Product number displayed under product name on proposals/invoices</t>
  </si>
  <si>
    <t>Product description</t>
  </si>
  <si>
    <t>Y/N</t>
  </si>
  <si>
    <r>
      <rPr>
        <rFont val="Calibri"/>
        <b/>
        <color rgb="FFFFFFFF"/>
        <sz val="10.0"/>
      </rPr>
      <t xml:space="preserve">Folder 1- 
</t>
    </r>
    <r>
      <rPr>
        <rFont val="Calibri"/>
        <b/>
        <color rgb="FFFF0000"/>
        <sz val="10.0"/>
      </rPr>
      <t>*Required</t>
    </r>
  </si>
  <si>
    <t>Folder 2</t>
  </si>
  <si>
    <t>Folder 3</t>
  </si>
  <si>
    <t>Folder 4</t>
  </si>
  <si>
    <t>Folder 5</t>
  </si>
  <si>
    <t>Product Name</t>
  </si>
  <si>
    <t>Product Short Name</t>
  </si>
  <si>
    <t>Product Income Account</t>
  </si>
  <si>
    <t>Is the product Taxable?</t>
  </si>
  <si>
    <t>Product Class</t>
  </si>
  <si>
    <t>Model Number</t>
  </si>
  <si>
    <t>Description</t>
  </si>
  <si>
    <t>Price</t>
  </si>
  <si>
    <t>Labor Hours</t>
  </si>
  <si>
    <t>Labor Rate</t>
  </si>
  <si>
    <t>Labor Cost</t>
  </si>
  <si>
    <t>Labor Name</t>
  </si>
  <si>
    <t>Labor Short Name</t>
  </si>
  <si>
    <t>Labor Income Account</t>
  </si>
  <si>
    <t>Is the labor Taxable?</t>
  </si>
  <si>
    <t>Labor Class</t>
  </si>
  <si>
    <r>
      <rPr>
        <rFont val="Calibri"/>
        <color rgb="FFFFFFFF"/>
        <sz val="10.0"/>
      </rPr>
      <t xml:space="preserve">Part Name
</t>
    </r>
    <r>
      <rPr>
        <rFont val="Calibri"/>
        <b/>
        <color rgb="FFFF0000"/>
        <sz val="10.0"/>
      </rPr>
      <t>*Required</t>
    </r>
  </si>
  <si>
    <t>Part Short Name</t>
  </si>
  <si>
    <t>Part Income Account</t>
  </si>
  <si>
    <r>
      <rPr>
        <rFont val="Calibri"/>
        <b/>
        <color rgb="FFFFFFFF"/>
        <sz val="10.0"/>
      </rPr>
      <t xml:space="preserve">Is the part Taxable? (Y/N)
</t>
    </r>
    <r>
      <rPr>
        <rFont val="Calibri"/>
        <b/>
        <color rgb="FFFF0000"/>
        <sz val="10.0"/>
      </rPr>
      <t>*Required</t>
    </r>
  </si>
  <si>
    <t>Part Class</t>
  </si>
  <si>
    <t>Part Cost</t>
  </si>
  <si>
    <t>Standard Price</t>
  </si>
  <si>
    <t>Part QBID</t>
  </si>
  <si>
    <t>Part Model Number</t>
  </si>
  <si>
    <t>Part_Description</t>
  </si>
  <si>
    <r>
      <rPr>
        <rFont val="Calibri"/>
        <b/>
        <color rgb="FFFFFFFF"/>
        <sz val="10.0"/>
      </rPr>
      <t xml:space="preserve">Serialized? (Y/N)
</t>
    </r>
    <r>
      <rPr>
        <rFont val="Calibri"/>
        <b/>
        <color rgb="FFFF0000"/>
        <sz val="10.0"/>
      </rPr>
      <t>*Required</t>
    </r>
  </si>
  <si>
    <t>Inventory (Y/N)</t>
  </si>
  <si>
    <t>Part Manufacturer Brand</t>
  </si>
  <si>
    <t>Part Supplier</t>
  </si>
  <si>
    <t>Part Manufacturer Warranty Name</t>
  </si>
  <si>
    <t xml:space="preserve">This is the Main Category name (Example: Equipment) </t>
  </si>
  <si>
    <t>Subfolder1 of the Main Category (Example: Equipment&gt;2 Ton)</t>
  </si>
  <si>
    <t>Subfolder 2 of the Main Category (Example: Equipment&gt;2Ton&gt;14 Seer)</t>
  </si>
  <si>
    <t xml:space="preserve">Subfolder 3 of the Main Category </t>
  </si>
  <si>
    <t>Subfolder 4 of the Main Category</t>
  </si>
  <si>
    <t>This will show to the customer of the job form</t>
  </si>
  <si>
    <t>For QB sync purposes</t>
  </si>
  <si>
    <t>Income account for QB sync</t>
  </si>
  <si>
    <t xml:space="preserve">Do you tax this part? </t>
  </si>
  <si>
    <t xml:space="preserve">Class in QB to sync to </t>
  </si>
  <si>
    <t>Your Cost for the part (optional)</t>
  </si>
  <si>
    <t xml:space="preserve">Sales Price </t>
  </si>
  <si>
    <t>Manufacturer Model #</t>
  </si>
  <si>
    <t>This description will show to the customer on the job form</t>
  </si>
  <si>
    <t>If yes, your team will be prompted to enter the serial #, and the part will flow to the customer's equipment section</t>
  </si>
  <si>
    <t>Is the part enabled in QB for inventory?</t>
  </si>
  <si>
    <t xml:space="preserve">Manufacturer Name </t>
  </si>
  <si>
    <t xml:space="preserve">Supplier you purchase the part from </t>
  </si>
  <si>
    <t>Name of applicable warranty created in Payzerware</t>
  </si>
  <si>
    <t>Category name</t>
  </si>
  <si>
    <t>Sub category name</t>
  </si>
  <si>
    <t>Product information will be the same as the part information</t>
  </si>
  <si>
    <t>Not applicable for single parts</t>
  </si>
  <si>
    <t>Single part example</t>
  </si>
  <si>
    <t>Payzer generated</t>
  </si>
  <si>
    <t>Example account</t>
  </si>
  <si>
    <t>yes</t>
  </si>
  <si>
    <t>Single part example description</t>
  </si>
  <si>
    <t>N</t>
  </si>
  <si>
    <t>Test manufacturer</t>
  </si>
  <si>
    <t>5 yr Warranty</t>
  </si>
  <si>
    <t>Installs</t>
  </si>
  <si>
    <t>Air Handler</t>
  </si>
  <si>
    <t>RUUD</t>
  </si>
  <si>
    <t>Ruud Air Handler with All-Aluminum A-Coil — 2 Ton (17.5″ cabinet)</t>
  </si>
  <si>
    <t>RH2TY2417STANNJ</t>
  </si>
  <si>
    <t>Glacier Supply</t>
  </si>
  <si>
    <t>Ruud Air Handler with All-Aluminum A-Coil — 3 Ton (17.5″ cabinet)</t>
  </si>
  <si>
    <t>RH2TY3617STANNJ</t>
  </si>
  <si>
    <t>y</t>
  </si>
  <si>
    <t>Ruud Air Handler with All-Aluminum A-Coil (Multi-Position) — 3 Ton (21″ cabinet)</t>
  </si>
  <si>
    <t>RH2TY3621MTANNJ</t>
  </si>
  <si>
    <t>Ruud Air Handler with All-Aluminum A-Coil — 3 Ton (21″ cabinet)</t>
  </si>
  <si>
    <t>RH2TY3621STANNJ</t>
  </si>
  <si>
    <t>Ruud Air Handler with All-Aluminum A-Coil — 4 Ton (21″ cabinet)</t>
  </si>
  <si>
    <t>RH2TY4821STANNJ</t>
  </si>
  <si>
    <t>Ruud Air Handler with All-Aluminum A-Coil — 4 Ton (24.5″ cabinet)</t>
  </si>
  <si>
    <t>RH2TY4824STANNJ</t>
  </si>
  <si>
    <t>Ruud Air Handler with All-Aluminum A-Coil — 5 Ton (21″ cabinet)</t>
  </si>
  <si>
    <t>RH2TY6021STANAJ</t>
  </si>
  <si>
    <t>Ruud Air Handler with All-Aluminum A-Coil — 5 Ton (24.5″ cabinet)</t>
  </si>
  <si>
    <t>RH2TY6024STANNJ</t>
  </si>
  <si>
    <t>RH2VY2417STACNJ</t>
  </si>
  <si>
    <t>RH2VY3617STACNJ</t>
  </si>
  <si>
    <t>RH2VY3621STACNJ</t>
  </si>
  <si>
    <t>RH2VY3621MTACNJ</t>
  </si>
  <si>
    <t>RH2VY3621MTACAJ</t>
  </si>
  <si>
    <t>RH2VY4821STACNJ</t>
  </si>
  <si>
    <t>RH2VY4821STACAJ</t>
  </si>
  <si>
    <t>RH2VY6021STACAJ</t>
  </si>
  <si>
    <t>RH2VY6024STACNJ</t>
  </si>
  <si>
    <t>RHMVY2417SEACNJ</t>
  </si>
  <si>
    <t>Ruud Air Handler with All-Aluminum A-Coil — 2 Ton (21″ cabinet)</t>
  </si>
  <si>
    <t>RHMVY2421MEACNJ</t>
  </si>
  <si>
    <t>RHMVY3621MEACAJ</t>
  </si>
  <si>
    <t>RHMVY4821SEACAJ</t>
  </si>
  <si>
    <t>RHMVY6021SEACAJ</t>
  </si>
  <si>
    <t>RHMVY6024SEACNJ</t>
  </si>
  <si>
    <t>Ruud Electric Heat Kit — 5 kW</t>
  </si>
  <si>
    <t>RXBH-1724A05J-B</t>
  </si>
  <si>
    <t>Ruud Electric Heat Kit — 7 kW</t>
  </si>
  <si>
    <t>RXBH-1724A07J-B</t>
  </si>
  <si>
    <t>Ruud Electric Heat Kit — 10 kW</t>
  </si>
  <si>
    <t>RXBH-1724A10J-B</t>
  </si>
  <si>
    <t>Ruud Electric Heat Kit — 13 kW</t>
  </si>
  <si>
    <t>RXBH-1724A13J-B</t>
  </si>
  <si>
    <t>Ruud Electric Heat Kit — 15 kW</t>
  </si>
  <si>
    <t>RXBH-1724A15J-B</t>
  </si>
  <si>
    <t>Ruud Electric Heat Kit — 18 kW</t>
  </si>
  <si>
    <t>RXBH-1724A18J-B</t>
  </si>
  <si>
    <t>Ruud Electric Heat Kit — 20 kW</t>
  </si>
  <si>
    <t>RXBH-24A20J-B</t>
  </si>
  <si>
    <t>Ruud Electric Heat Kit — 25 kW</t>
  </si>
  <si>
    <t>RXBH-24A25J-B</t>
  </si>
  <si>
    <t>2 CIRCUITS TO 1</t>
  </si>
  <si>
    <t>RXBJA21</t>
  </si>
  <si>
    <t>3 CIRCUITS TO 1</t>
  </si>
  <si>
    <t>RXBJ-A31</t>
  </si>
  <si>
    <t>24" MERV 13 IAQ Media Air Cleaner</t>
  </si>
  <si>
    <t>UXHF-E24M13</t>
  </si>
  <si>
    <t>21" MERV 13 IAQ Media Air Cleaner</t>
  </si>
  <si>
    <t>UXHF-E21M13</t>
  </si>
  <si>
    <t>17" MERV 13 IAQ Media Air Cleaner</t>
  </si>
  <si>
    <t>UXHF-E17M13</t>
  </si>
  <si>
    <t>16" UVC / PCO 120v Air Treatment System - IAQ</t>
  </si>
  <si>
    <t>UXAQ-AP26N0</t>
  </si>
  <si>
    <t>20 x 25 MERV 13 Nano- Carbon UV / PCO Electronic Air Cleaner 120v - IAQ</t>
  </si>
  <si>
    <t>UXAQ-AT22B3</t>
  </si>
  <si>
    <t>AC</t>
  </si>
  <si>
    <t>Ruud 13 SEER2 Air Conditioner — 1.5 Ton</t>
  </si>
  <si>
    <t>RA13NY18AJ1NA</t>
  </si>
  <si>
    <t>Ruud 13 SEER2 Air Conditioner — 2 Ton</t>
  </si>
  <si>
    <t>RA13NY24AJ1NA</t>
  </si>
  <si>
    <t>Ruud 13 SEER2 Air Conditioner — 2.5 Ton</t>
  </si>
  <si>
    <t>RA13NY30AJ1NA</t>
  </si>
  <si>
    <t>Ruud 13 SEER2 Air Conditioner — 3 Ton</t>
  </si>
  <si>
    <t>RA13NY36AJ1NA</t>
  </si>
  <si>
    <t>Ruud 13 SEER2 Air Conditioner — 3.5 Ton</t>
  </si>
  <si>
    <t>RA13NY42AJ1NA</t>
  </si>
  <si>
    <t>Ruud 13 SEER2 Air Conditioner — 4 Ton</t>
  </si>
  <si>
    <t>RA13NY48AJ1NA</t>
  </si>
  <si>
    <t>Ruud 13 SEER2 Air Conditioner — 5 Ton</t>
  </si>
  <si>
    <t>RA13NY60AJ1NA</t>
  </si>
  <si>
    <t>Ruud 14 SEER2 Air Conditioner — 1.5 Ton</t>
  </si>
  <si>
    <t>RA14AY18AJ1NA</t>
  </si>
  <si>
    <t>Ruud 14 SEER2 Air Conditioner — 2 Ton</t>
  </si>
  <si>
    <t>RA14AY24AJ1NA</t>
  </si>
  <si>
    <t>Ruud 14 SEER2 Air Conditioner — 2.5 Ton</t>
  </si>
  <si>
    <t>RA14AY30AJ1NA</t>
  </si>
  <si>
    <t>Ruud 14 SEER2 Air Conditioner — 3 Ton</t>
  </si>
  <si>
    <t>RA14AY36AJ1NA</t>
  </si>
  <si>
    <t>Ruud 14 SEER2 Air Conditioner — 3.5 Ton</t>
  </si>
  <si>
    <t>RA14AY42AJ1NA</t>
  </si>
  <si>
    <t>Ruud 14 SEER2 Air Conditioner — 4 Ton</t>
  </si>
  <si>
    <t>RA14AY48AJ1NA</t>
  </si>
  <si>
    <t>Ruud 14 SEER2 Air Conditioner — 5 Ton</t>
  </si>
  <si>
    <t>RA14AY60AJ1NA</t>
  </si>
  <si>
    <t>Evaporator Coil</t>
  </si>
  <si>
    <t>Ruud Cased A-Coil (All-Aluminum) — 2 Ton (14.5″ cabinet)</t>
  </si>
  <si>
    <t>RCFY2414STAAMC</t>
  </si>
  <si>
    <t>Ruud Cased A-Coil (All-Aluminum) — 2 Ton (17.5″ cabinet)</t>
  </si>
  <si>
    <t>RCFY2417MTANMC</t>
  </si>
  <si>
    <t>RCFY2417SEANMC</t>
  </si>
  <si>
    <t>RCFY2417STANMC</t>
  </si>
  <si>
    <t>Ruud Cased A-Coil (All-Aluminum) — 2 Ton (21″ cabinet)</t>
  </si>
  <si>
    <t>RCFY2421HEAAMC</t>
  </si>
  <si>
    <t>RCFY2421HEANMC</t>
  </si>
  <si>
    <t>RCFY2421HTAAMC</t>
  </si>
  <si>
    <t>RCFY2421HTANMC</t>
  </si>
  <si>
    <t>RCFY2421MEANMC</t>
  </si>
  <si>
    <t>RCFY2421MTANMC</t>
  </si>
  <si>
    <t>Ruud Cased A-Coil (All-Aluminum) — 3 Ton (17.5″ cabinet)</t>
  </si>
  <si>
    <t>RCFY3617STANMC</t>
  </si>
  <si>
    <t>Ruud Cased A-Coil (All-Aluminum) — 3 Ton (21″ cabinet)</t>
  </si>
  <si>
    <t>RCFY3621MEAAMC</t>
  </si>
  <si>
    <t>RCFY3621MEANMC</t>
  </si>
  <si>
    <t>RCFY3621MTAAMC</t>
  </si>
  <si>
    <t>RCFY3621MTANMC</t>
  </si>
  <si>
    <t>RCFY3621STANMC</t>
  </si>
  <si>
    <t>Ruud Cased A-Coil (All-Aluminum) — 3 Ton (24.5″ cabinet)</t>
  </si>
  <si>
    <t>RCFY3624MTANMC</t>
  </si>
  <si>
    <t>Ruud Cased A-Coil (All-Aluminum) — 4 Ton (21″ cabinet)</t>
  </si>
  <si>
    <t>RCFY4821SEAAMC</t>
  </si>
  <si>
    <t>RCFY4821STAAMC</t>
  </si>
  <si>
    <t>RCFY4821STANMC</t>
  </si>
  <si>
    <t>Ruud Cased A-Coil (All-Aluminum) — 4 Ton (24.5″ cabinet)</t>
  </si>
  <si>
    <t>RCFY4824MTANMC</t>
  </si>
  <si>
    <t>RCFY4824STANMC</t>
  </si>
  <si>
    <t>RCFY4824STANVU</t>
  </si>
  <si>
    <t>Ruud Cased A-Coil (All-Aluminum) — 5 Ton (21″ cabinet)</t>
  </si>
  <si>
    <t>RCFY6021SEAAMC</t>
  </si>
  <si>
    <t>RCFY6021STAAMC</t>
  </si>
  <si>
    <t>Ruud Cased A-Coil (All-Aluminum) — 5 Ton (24.5″ cabinet)</t>
  </si>
  <si>
    <t>RCFY6024SEANMC</t>
  </si>
  <si>
    <t>RCFY6024STANMC</t>
  </si>
  <si>
    <t>Furnace</t>
  </si>
  <si>
    <t>Ruud 80% AFUE Gas Furnace — 50,000 BTU</t>
  </si>
  <si>
    <t>R801T0503A14DZSNAS</t>
  </si>
  <si>
    <t>Ruud 80% AFUE Gas Furnace — 75,000 BTU</t>
  </si>
  <si>
    <t>R801T0753A17DZSNAS</t>
  </si>
  <si>
    <t>Ruud 80% AFUE Gas Furnace — 100,000 BTU</t>
  </si>
  <si>
    <t>R801T1004A17DZSNAS</t>
  </si>
  <si>
    <t>R801T1005A21DZSNAS</t>
  </si>
  <si>
    <t>Ruud 80% AFUE Gas Furnace — 125,000 BTU</t>
  </si>
  <si>
    <t>R801T1255A24DZSNAS</t>
  </si>
  <si>
    <t>R801T0503A14UHSNAS</t>
  </si>
  <si>
    <t>R801T0754A17UHSNAS</t>
  </si>
  <si>
    <t>R801T0754A21UHSNAS</t>
  </si>
  <si>
    <t>R801T1004A17UHSNAS</t>
  </si>
  <si>
    <t>R801T1005A21UHSNAS</t>
  </si>
  <si>
    <t>R801T1255A24UHSNAS</t>
  </si>
  <si>
    <t>R802V0503A14DZSCAP</t>
  </si>
  <si>
    <t>R802V0754A17DZSCAP</t>
  </si>
  <si>
    <t>R802V1005A21DZSCAP</t>
  </si>
  <si>
    <t>R802V1255A24DZSCAP</t>
  </si>
  <si>
    <t>R802V0754A17UHSCAP</t>
  </si>
  <si>
    <t>R802V1005A21UHSCAP</t>
  </si>
  <si>
    <t>R802V1255A24UHSCAP</t>
  </si>
  <si>
    <t>Ruud 80% AFUE Gas Furnace</t>
  </si>
  <si>
    <t>R802V1505A24UHSCAP</t>
  </si>
  <si>
    <t>Ruud 95% AFUE Gas Furnace — 40,000 BTU</t>
  </si>
  <si>
    <t>R951V0403A17M4SCAP</t>
  </si>
  <si>
    <t>Ruud 95% AFUE Gas Furnace — 60,000 BTU</t>
  </si>
  <si>
    <t>R951V0603A17M4SCAP</t>
  </si>
  <si>
    <t>Ruud 95% AFUE Gas Furnace — 70,000 BTU</t>
  </si>
  <si>
    <t>R951V0703A17M4SCAP</t>
  </si>
  <si>
    <t>Ruud 95% AFUE Gas Furnace — 85,000 BTU</t>
  </si>
  <si>
    <t>R951V0855A21M4SCAP</t>
  </si>
  <si>
    <t>Ruud 95% AFUE Gas Furnace — 100,000 BTU</t>
  </si>
  <si>
    <t>R951V1005A21M4SCAP</t>
  </si>
  <si>
    <t>Ruud 95% AFUE Gas Furnace — 115,000 BTU</t>
  </si>
  <si>
    <t>R951V1155A24M4SCAP</t>
  </si>
  <si>
    <t>Ruud 96% AFUE Gas Furnace — 60,000 BTU</t>
  </si>
  <si>
    <t>R962V0603A17M4SCAP</t>
  </si>
  <si>
    <t>Ruud 96% AFUE Gas Furnace — 70,000 BTU</t>
  </si>
  <si>
    <t>R962V0703A17M4SCAP</t>
  </si>
  <si>
    <t>Ruud 96% AFUE Gas Furnace — 85,000 BTU</t>
  </si>
  <si>
    <t>R962V0855A21M4SCAP</t>
  </si>
  <si>
    <t>Ruud 96% AFUE Gas Furnace — 100,000 BTU</t>
  </si>
  <si>
    <t>R962V1005A21M4SCAP</t>
  </si>
  <si>
    <t>Ruud 96% AFUE Gas Furnace — 115,000 BTU</t>
  </si>
  <si>
    <t>R962V1155A24M4SCAP</t>
  </si>
  <si>
    <t>LP Conversion Kit : All U97V &amp; U98V</t>
  </si>
  <si>
    <t>FP-37</t>
  </si>
  <si>
    <t>LP Conversion Kit : All R801T NAS</t>
  </si>
  <si>
    <t>FP-15</t>
  </si>
  <si>
    <t>LP Conversion Kit : All R951V</t>
  </si>
  <si>
    <t>FP-38</t>
  </si>
  <si>
    <t>LP Conversion Kit : All R962V</t>
  </si>
  <si>
    <t>FP-34</t>
  </si>
  <si>
    <t>LP Conversion Kit : All R802V</t>
  </si>
  <si>
    <t>FP-32</t>
  </si>
  <si>
    <t>DOWNFLOW/HORIZONTAL CONDENSATE CONVERSION KIT</t>
  </si>
  <si>
    <t>RXGY-CK</t>
  </si>
  <si>
    <t>DOWNFLOW/HORIZONTAL LEFT ZERO CLEARANCE KIT</t>
  </si>
  <si>
    <t>RXGY-ZK</t>
  </si>
  <si>
    <t>2" DIRECT SIDEWALL HORIZONTAL VENT TERMINATION</t>
  </si>
  <si>
    <t>HVENT-2</t>
  </si>
  <si>
    <t>3" DIRECT SIDEWALL HORIZONTAL VENT TERMINATION</t>
  </si>
  <si>
    <t>HVENT-3</t>
  </si>
  <si>
    <t>2" CONCENTRIC VERTICAL VENT TERMINATION</t>
  </si>
  <si>
    <t>CVENT-2</t>
  </si>
  <si>
    <t>3" CONCENTRIC VERTICAL VENT TERMINATION</t>
  </si>
  <si>
    <t>CVENT-3</t>
  </si>
  <si>
    <t>Heat Pump</t>
  </si>
  <si>
    <t>Ruud 14 SEER2 Heat Pump — 1.5 Ton</t>
  </si>
  <si>
    <t>RP14AY18AJ1NA</t>
  </si>
  <si>
    <t>Ruud 14 SEER2 Heat Pump — 2 Ton</t>
  </si>
  <si>
    <t>RP14AY24AJ2NA</t>
  </si>
  <si>
    <t>Ruud 14 SEER2 Heat Pump — 2.5 Ton</t>
  </si>
  <si>
    <t>RP14AY30AJ2NA</t>
  </si>
  <si>
    <t>Ruud 14 SEER2 Heat Pump — 3 Ton</t>
  </si>
  <si>
    <t>RP14AY36AJ2NA</t>
  </si>
  <si>
    <t>Ruud 14 SEER2 Heat Pump — 3.5 Ton</t>
  </si>
  <si>
    <t>RP14AY42AJ2NA</t>
  </si>
  <si>
    <t>Ruud 14 SEER2 Heat Pump — 4 Ton</t>
  </si>
  <si>
    <t>RP14AY48AJ2NA</t>
  </si>
  <si>
    <t>Ruud 14 SEER2 Heat Pump — 5 Ton</t>
  </si>
  <si>
    <t>RP14AY60AJ2NA</t>
  </si>
  <si>
    <t>Ruud 15 SEER2 Heat Pump — 2 Ton</t>
  </si>
  <si>
    <t>RP15AY24AJ2NA</t>
  </si>
  <si>
    <t>Ruud 15 SEER2 Heat Pump — 2.5 Ton</t>
  </si>
  <si>
    <t>RP15AY30AJ2NA</t>
  </si>
  <si>
    <t>Ruud 15 SEER2 Heat Pump — 3 Ton</t>
  </si>
  <si>
    <t>RP15AY36AJ2NA</t>
  </si>
  <si>
    <t>Ruud 15 SEER2 Heat Pump — 3.5 Ton</t>
  </si>
  <si>
    <t>RP15AY42AJ2NA</t>
  </si>
  <si>
    <t>Ruud 15 SEER2 Heat Pump — 4 Ton</t>
  </si>
  <si>
    <t>RP15AY48AJ2NA</t>
  </si>
  <si>
    <t>Ruud 15 SEER2 Heat Pump — 5 Ton</t>
  </si>
  <si>
    <t>RP15AY60AJ2NA</t>
  </si>
  <si>
    <t>Ruud 16 SEER2 AC System — 2 Ton</t>
  </si>
  <si>
    <t>RD16AY24AJVCA</t>
  </si>
  <si>
    <t>Ruud 16 SEER2 AC System — 3 Ton</t>
  </si>
  <si>
    <t>RD16AY36AJVCA</t>
  </si>
  <si>
    <t>Ruud 16 SEER2 AC System — 4 Ton</t>
  </si>
  <si>
    <t>RD16AY48AJVCA</t>
  </si>
  <si>
    <t>Ruud 16 SEER2 AC System — 5 Ton</t>
  </si>
  <si>
    <t>RD16AY60AJVCA</t>
  </si>
  <si>
    <t>Compressor crankcase heater</t>
  </si>
  <si>
    <t>44-103663-15</t>
  </si>
  <si>
    <t>Base pan heater connector kit *</t>
  </si>
  <si>
    <t>45-110492-01</t>
  </si>
  <si>
    <t>Low ambient control</t>
  </si>
  <si>
    <t>Included Standard</t>
  </si>
  <si>
    <t>Compressor sound cover</t>
  </si>
  <si>
    <t>Compressor hard start kit</t>
  </si>
  <si>
    <t>Low pressure control</t>
  </si>
  <si>
    <t>High pressure control</t>
  </si>
  <si>
    <t>Liquid Line Solenoid
(24 VAC, 50/60 Hz)Solenoid Valve</t>
  </si>
  <si>
    <t>200RD2T3TVLC</t>
  </si>
  <si>
    <t>Liquid Line Solenoid
(24 VAC, 50/60 Hz)Solenoid Coil</t>
  </si>
  <si>
    <t>61-AMG24V</t>
  </si>
  <si>
    <t>Liquid Line Solenoid
(120/240 VAC, 50/60 Hz)Solenoid Valve</t>
  </si>
  <si>
    <t>Liquid Line Solenoid
(120/240 VAC, 50/60 Hz)Solenoid Coil</t>
  </si>
  <si>
    <t>61-AMG120/240V</t>
  </si>
  <si>
    <t>Ruud 18 SEER2 AC System — 2 Ton</t>
  </si>
  <si>
    <t>RD18AY24AJVCA</t>
  </si>
  <si>
    <t>Ruud 18 SEER2 AC System — 3 Ton</t>
  </si>
  <si>
    <t>RD18AY36AJVCA</t>
  </si>
  <si>
    <t>Ruud 18 SEER2 AC System — 4 Ton</t>
  </si>
  <si>
    <t>RD18AY48AJVCA</t>
  </si>
  <si>
    <t>Ruud 18 SEER2 AC System — 5 Ton</t>
  </si>
  <si>
    <t>RD18AY60AJVCA</t>
  </si>
  <si>
    <t>Liquid Line Solenoid(24 VAC, 50/60 Hz) Solenoid Valve</t>
  </si>
  <si>
    <t>Liquid Line Solenoid(24 VAC, 50/60 Hz) Solenoid Coil</t>
  </si>
  <si>
    <t>Liquid Line Solenoid
(120/240 VAC, 50/60 Hz) Solenoid Valve</t>
  </si>
  <si>
    <t>Liquid Line Solenoid
(120/240 VAC, 50/60 Hz) Solenoid Coil</t>
  </si>
  <si>
    <t>EcoNet Controls</t>
  </si>
  <si>
    <t>RUUD ECONET 800 SERIES SMART STAT</t>
  </si>
  <si>
    <t>UETST800SYS</t>
  </si>
  <si>
    <t>RUUD ECONET ZONE CONTROLLER</t>
  </si>
  <si>
    <t>RECTL800ZON</t>
  </si>
  <si>
    <t>SA SENSORS FOR AIR HANDLER (REQUIRED W/INTELLIGENT BYPASS)</t>
  </si>
  <si>
    <t>RXHT-A02</t>
  </si>
  <si>
    <t>SA SENSOR FOR FURNACE (REQUIRED W/INTELLIGENT BYPASS)</t>
  </si>
  <si>
    <t>47-24225-01</t>
  </si>
  <si>
    <t>6" RND DAMPER</t>
  </si>
  <si>
    <t>6URD</t>
  </si>
  <si>
    <t>8" RND DAMPER</t>
  </si>
  <si>
    <t>8URD</t>
  </si>
  <si>
    <t>10" RND DAMPER</t>
  </si>
  <si>
    <t>10URD</t>
  </si>
  <si>
    <t>12" RND DAMPER</t>
  </si>
  <si>
    <t>12URD</t>
  </si>
  <si>
    <t>14" RND DAMPER</t>
  </si>
  <si>
    <t>14URD</t>
  </si>
  <si>
    <t>16" RND DAMPER</t>
  </si>
  <si>
    <t>16URD</t>
  </si>
  <si>
    <t>18" RND DAMPER</t>
  </si>
  <si>
    <t>18URD</t>
  </si>
  <si>
    <t>20" RND DAMPER</t>
  </si>
  <si>
    <t>20URD</t>
  </si>
  <si>
    <t>14 X 8 RECTANGULAR DAMPER</t>
  </si>
  <si>
    <t>14X8ND</t>
  </si>
  <si>
    <t>16 X 8 RECTANGULAR DAMPER</t>
  </si>
  <si>
    <t>16X8ND</t>
  </si>
  <si>
    <t>20 X 8 RECTANGULAR DAMPER</t>
  </si>
  <si>
    <t>20X8ND</t>
  </si>
  <si>
    <t>24 X 8 RECTANGULAR DAMPER</t>
  </si>
  <si>
    <t>24X8ND</t>
  </si>
  <si>
    <t>10 X 10 RECTANGULAR DAMPER</t>
  </si>
  <si>
    <t>10X10ND</t>
  </si>
  <si>
    <t>12 X 10 RECTANGULAR DAMPER</t>
  </si>
  <si>
    <t>12X10ND</t>
  </si>
  <si>
    <t>14 X 10 RECTANGULAR DAMPER</t>
  </si>
  <si>
    <t>14X10ND</t>
  </si>
  <si>
    <t>16 X 10 RECTANGULAR DAMPER</t>
  </si>
  <si>
    <t>16X10ND</t>
  </si>
  <si>
    <t>20 X 10 RECTANGULAR DAMPER</t>
  </si>
  <si>
    <t>20X10ND</t>
  </si>
  <si>
    <t>Bosch</t>
  </si>
  <si>
    <t>Bosch IDS Light Inverter Heat Pump Condenser — 3 Ton</t>
  </si>
  <si>
    <t>BOVA-36RXB-M15S</t>
  </si>
  <si>
    <t>Bosch IDS Light Inverter Heat Pump Condenser — 5 Ton</t>
  </si>
  <si>
    <t>BOVA-60RXB-M15S</t>
  </si>
  <si>
    <t>Bosch BMAC Multi-Position Cased A-Coil (All-Aluminum) — 3.5–4 Ton (21″ cabinet)</t>
  </si>
  <si>
    <t>BMAC4248CBTA</t>
  </si>
  <si>
    <t>Bosch BMAC Multi-Position Cased A-Coil (All-Aluminum) — 3.5–4 Ton (24.5″ cabinet)</t>
  </si>
  <si>
    <t>BMAC4248DBTA</t>
  </si>
  <si>
    <t>Bosch BMAC Multi-Position Cased A-Coil (All-Aluminum) — 4–5 Ton (21″ cabinet)</t>
  </si>
  <si>
    <t>BMAC4860CBTA</t>
  </si>
  <si>
    <t>Bosch BMAC Multi-Position Cased A-Coil (All-Aluminum) — 4–5 Ton (24.5″ cabinet)</t>
  </si>
  <si>
    <t>BMAC4860DBTA</t>
  </si>
  <si>
    <t>Bosch IDS Premium / 2.0 Inverter Heat Pump Condenser — 3 Ton</t>
  </si>
  <si>
    <t>BOVA-36RTB-M20S</t>
  </si>
  <si>
    <t>Bosch IDS Premium / 2.0 Inverter Heat Pump Condenser — 5 Ton</t>
  </si>
  <si>
    <t>BOVA-60RTB-M20S</t>
  </si>
  <si>
    <t>Bosch BMAC Multi-Position Cased A-Coil (All-Aluminum) — 2–2.5 Ton (14.5″ cabinet)</t>
  </si>
  <si>
    <t>BMAC2430ABTA</t>
  </si>
  <si>
    <t>Bosch BMAC Multi-Position Cased A-Coil (All-Aluminum) — 2–2.5 Ton (17.5″ cabinet)</t>
  </si>
  <si>
    <t>BMAC2430BBTA</t>
  </si>
  <si>
    <t>Bosch BMAC Multi-Position Cased A-Coil (All-Aluminum) — 2.5–3 Ton (14.5″ cabinet)</t>
  </si>
  <si>
    <t>BMAC3036ABTA</t>
  </si>
  <si>
    <t>Bosch BMAC Multi-Position Cased A-Coil (All-Aluminum) — 2.5–3 Ton (17.5″ cabinet)</t>
  </si>
  <si>
    <t>BMAC3036BBTA</t>
  </si>
  <si>
    <t>Bosch BMAC Multi-Position Cased A-Coil (All-Aluminum) — 2.5–3 Ton (21″ cabinet)</t>
  </si>
  <si>
    <t>BMAC3036CBTA</t>
  </si>
  <si>
    <t>Bosch IDS Inverter Heat Pump Condenser — 5 Ton</t>
  </si>
  <si>
    <t>BOVA-60MTB-M19E</t>
  </si>
  <si>
    <t>Bosch IDS Light Inverter Heat Pump Condenser — 2 Ton</t>
  </si>
  <si>
    <t>BOVA-24RXB-M15S</t>
  </si>
  <si>
    <t>Bosch BVA Multi-Position Air Handler with All-Aluminum A-Coil — 2 Ton</t>
  </si>
  <si>
    <t>BIVA-24RXB-M15X</t>
  </si>
  <si>
    <t>Bosch BVA Multi-Position Air Handler with All-Aluminum A-Coil — 3 Ton</t>
  </si>
  <si>
    <t>BIVA-36RXB-M15X</t>
  </si>
  <si>
    <t>Bosch BVA Multi-Position Air Handler with All-Aluminum A-Coil — 4 Ton</t>
  </si>
  <si>
    <t>BIVA-48RXB-M15X</t>
  </si>
  <si>
    <t>Bosch BVA Multi-Position Air Handler with All-Aluminum A-Coil — 5 Ton</t>
  </si>
  <si>
    <t>BIVA-60RXB-M15X</t>
  </si>
  <si>
    <t>BIVA-24RCB-M20X</t>
  </si>
  <si>
    <t>BIVA-36RCB-M20X</t>
  </si>
  <si>
    <t>BIVA-48RCB-M20X</t>
  </si>
  <si>
    <t>BIVA-60RCB-M20X</t>
  </si>
  <si>
    <t>BIVA-48MCB-M19X</t>
  </si>
  <si>
    <t>BIVA-60MCB-M19X</t>
  </si>
  <si>
    <t>Accessories</t>
  </si>
  <si>
    <t>IDS Accessory 5KW</t>
  </si>
  <si>
    <t>81-0828-00</t>
  </si>
  <si>
    <t>IDS Accessory 8KW</t>
  </si>
  <si>
    <t>81-0829-00</t>
  </si>
  <si>
    <t>IDS Accessory 10KW</t>
  </si>
  <si>
    <t>81-0830-00</t>
  </si>
  <si>
    <t>IDS Accessory 15KW</t>
  </si>
  <si>
    <t>81-0831-00</t>
  </si>
  <si>
    <t>IDS Accessory 20KW</t>
  </si>
  <si>
    <t>81-0832-00</t>
  </si>
  <si>
    <t>Furnace 96% — 60,000 BTU</t>
  </si>
  <si>
    <t>BGH96M060B3C</t>
  </si>
  <si>
    <t>Furnace 96% — 80,000 BTU</t>
  </si>
  <si>
    <t>BGH96M080B3C</t>
  </si>
  <si>
    <t>BGH96M080C4C</t>
  </si>
  <si>
    <t>Furnace 96% — 100,000 BTU</t>
  </si>
  <si>
    <t>BGH96M100C5C</t>
  </si>
  <si>
    <t>BGH96M100D5C</t>
  </si>
  <si>
    <t>Furnace 96% — 120,000 BTU</t>
  </si>
  <si>
    <t>BGH96M120D5C</t>
  </si>
  <si>
    <t>Inverter Ducted Packaged- IDP PREMIUM</t>
  </si>
  <si>
    <t>BRBA-36HWD1N1-M18</t>
  </si>
  <si>
    <t>BRBA-60HWD1N1-M18</t>
  </si>
  <si>
    <t>Inverter Ducted Packaged- IDP PLUS</t>
  </si>
  <si>
    <t>BRCA-36HWD1N1-M15</t>
  </si>
  <si>
    <t>BRCA-60HWD1N1-M15</t>
  </si>
  <si>
    <t>IDP Electric Heat Kits</t>
  </si>
  <si>
    <t>EHK2-05J</t>
  </si>
  <si>
    <t>EHK2-08J</t>
  </si>
  <si>
    <t>EHK2-10J</t>
  </si>
  <si>
    <t>EHK2-15J</t>
  </si>
  <si>
    <t>EHK2-20J</t>
  </si>
  <si>
    <t xml:space="preserve">A2L ACCESSORY BOX  </t>
  </si>
  <si>
    <t>Bosch Climate 5000 Wall-Mounted Indoor Unit — 0.5 Ton</t>
  </si>
  <si>
    <t>BMS500-AAU006-1AHWXD</t>
  </si>
  <si>
    <t>Bosch Climate 5000 Wall-Mounted Indoor Unit — 0.75 Ton</t>
  </si>
  <si>
    <t>BMS500-AAU009-1AHWXD</t>
  </si>
  <si>
    <t>Bosch Climate 5000 Wall-Mounted Indoor Unit — 1 Ton</t>
  </si>
  <si>
    <t>BMS500-AAU012-1AHWXD</t>
  </si>
  <si>
    <t>Bosch Climate 5000 Wall-Mounted Indoor Unit — 1.5 Ton</t>
  </si>
  <si>
    <t>BMS500-AAU018-1AHWXD</t>
  </si>
  <si>
    <t>Bosch Climate 5000 Wall-Mounted Indoor Unit — 2 Ton</t>
  </si>
  <si>
    <t>BMS500-AAU024-1AHWXD</t>
  </si>
  <si>
    <t>Bosch Climate 5000 Wall-Mounted Indoor Unit — 2.5 Ton</t>
  </si>
  <si>
    <t>BMS500-AAU030-1AHWXD</t>
  </si>
  <si>
    <t>Bosch Climate 5000 Wall-Mounted Indoor Unit — 3 Ton</t>
  </si>
  <si>
    <t>BMS500-AAU036-1AHWXD</t>
  </si>
  <si>
    <t>Bosch Climate 5000 Regular Single-Zone Ductless Heat Pump Outdoor Unit — 0.75 Ton</t>
  </si>
  <si>
    <t>BMS500-AAS009-1CSXRD</t>
  </si>
  <si>
    <t>Bosch Climate 5000 Regular Single-Zone Ductless Heat Pump Outdoor Unit — 1 Ton</t>
  </si>
  <si>
    <t>BMS500-AAS012-1CSXRD</t>
  </si>
  <si>
    <t>Bosch Climate 5000 Regular Single-Zone Ductless Heat Pump Outdoor Unit — 1.5 Ton</t>
  </si>
  <si>
    <t>BMS500-AAS018-1CSXRD</t>
  </si>
  <si>
    <t>Bosch Climate 5000 Regular Single-Zone Ductless Heat Pump Outdoor Unit — 2 Ton</t>
  </si>
  <si>
    <t>BMS500-AAS024-1CSXRD</t>
  </si>
  <si>
    <t>Bosch Climate 5000 Regular Single-Zone Ductless Heat Pump Outdoor Unit — 2.5 Ton</t>
  </si>
  <si>
    <t>BMS500-AAS030-1CSXRD</t>
  </si>
  <si>
    <t>Bosch Climate 5000 Regular Single-Zone Ductless Heat Pump Outdoor Unit — 3 Ton</t>
  </si>
  <si>
    <t>BMS500-AAS036-1CSXRD</t>
  </si>
  <si>
    <t>Bosch Climate 5000 Max Performance Single-Zone Ductless Heat Pump Outdoor Unit — 0.75 Ton</t>
  </si>
  <si>
    <t>BMS500-AAS009-1CSXHD</t>
  </si>
  <si>
    <t>Bosch Climate 5000 Max Performance Single-Zone Ductless Heat Pump Outdoor Unit — 1 Ton</t>
  </si>
  <si>
    <t>BMS500-AAS012-1CSXHD</t>
  </si>
  <si>
    <t>Bosch Climate 5000 Max Performance Single-Zone Ductless Heat Pump Outdoor Unit — 1.5 Ton</t>
  </si>
  <si>
    <t>BMS500-AAS018-1CSXHD</t>
  </si>
  <si>
    <t>Bosch Climate 5000 Max Performance Single-Zone Ductless Heat Pump Outdoor Unit — 2 Ton</t>
  </si>
  <si>
    <t>BMS500-AAS024-1CSXHD</t>
  </si>
  <si>
    <t>Bosch Climate 5000 Indoor Unit — 1 Ton</t>
  </si>
  <si>
    <t>BMS500-AAU012-0AHWXD</t>
  </si>
  <si>
    <t>BMS500-AAS012-OCSXRD</t>
  </si>
  <si>
    <t>Bosch Climate 5000 One-Way Ceiling Cassette — 0.75 Ton</t>
  </si>
  <si>
    <t>BMS500-AAU009-1AHZXD</t>
  </si>
  <si>
    <t>Bosch Climate 5000 One-Way Ceiling Cassette — 1 Ton</t>
  </si>
  <si>
    <t>BMS500-AAU012-1AHZXD</t>
  </si>
  <si>
    <t>Bosch Climate 5000 One-Way Ceiling Cassette — 1.5 Ton</t>
  </si>
  <si>
    <t>BMS500-AAU018-1AHZXD</t>
  </si>
  <si>
    <t>Bosch Climate 5000 4-Way Ceiling Cassette — 0.75 Ton</t>
  </si>
  <si>
    <t>BMS500-AAU009-1AHCXD</t>
  </si>
  <si>
    <t>Bosch Climate 5000 4-Way Ceiling Cassette — 1 Ton</t>
  </si>
  <si>
    <t>BMS500-AAU012-1AHCXD</t>
  </si>
  <si>
    <t>Bosch Climate 5000 4-Way Ceiling Cassette — 1.5 Ton</t>
  </si>
  <si>
    <t>BMS500-AAU018-1AHCXD</t>
  </si>
  <si>
    <t>Bosch Climate 5000 4-Way Ceiling Cassette — 2 Ton</t>
  </si>
  <si>
    <t>BMS500-AAU024-1AHCXD</t>
  </si>
  <si>
    <t>Bosch Climate 5000 4-Way Ceiling Cassette — 3 Ton</t>
  </si>
  <si>
    <t>BMS500-AAU036-1AHCXD</t>
  </si>
  <si>
    <t>Bosch Climate 5000 4-Way Ceiling Cassette — 4 Ton</t>
  </si>
  <si>
    <t>BMS500-AAU048-1AHCXD</t>
  </si>
  <si>
    <t>Bosch Climate 5000 Slim Ducted Indoor Unit — 0.75 Ton</t>
  </si>
  <si>
    <t>BMS500-AAU009-1AHDXD</t>
  </si>
  <si>
    <t>Bosch Climate 5000 Slim Ducted Indoor Unit — 1 Ton</t>
  </si>
  <si>
    <t>BMS500-AAU012-1AHDXD</t>
  </si>
  <si>
    <t>Bosch Climate 5000 Slim Ducted Indoor Unit — 1.5 Ton</t>
  </si>
  <si>
    <t>BMS500-AAU018-1AHDXD</t>
  </si>
  <si>
    <t>Bosch Climate 5000 Slim Ducted Indoor Unit — 2 Ton</t>
  </si>
  <si>
    <t>BMS500-AAU024-1AHDXD</t>
  </si>
  <si>
    <t>Bosch Climate 5000 Slim Ducted Indoor Unit — 3 Ton</t>
  </si>
  <si>
    <t>BMS500-AAU036-1AHDXD</t>
  </si>
  <si>
    <t>Bosch Climate 5000 Slim Ducted Indoor Unit — 4 Ton</t>
  </si>
  <si>
    <t>BMS500-AAU048-1AHDXD</t>
  </si>
  <si>
    <t>Bosch Climate 5000 Slim Ducted Indoor Unit — 5 Ton</t>
  </si>
  <si>
    <t>BMS500-AAU060-1AHDXD</t>
  </si>
  <si>
    <t>BMS500-AAS036-1CSXLD</t>
  </si>
  <si>
    <t>Bosch Climate 5000 Regular Single-Zone Ductless Heat Pump Outdoor Unit — 4 Ton</t>
  </si>
  <si>
    <t>BMS500-AAS048-1CSXLD</t>
  </si>
  <si>
    <t>Bosch Climate 5000 Regular Single-Zone Ductless Heat Pump Outdoor Unit — 5 Ton</t>
  </si>
  <si>
    <t>BMS500-AAS060-1CSXLD</t>
  </si>
  <si>
    <t>HVAC</t>
  </si>
  <si>
    <t>Bosch BMS-WT2-XXD</t>
  </si>
  <si>
    <t>BMS-WT2-XXD</t>
  </si>
  <si>
    <t>Bosch BMS-DRY-XXD</t>
  </si>
  <si>
    <t>BMS-DRY-XXD</t>
  </si>
  <si>
    <t>Bosch Climate 5000 Regular Multi-Zone Ductless Heat Pump Outdoor Unit — 1.5 Ton (up to 3 zones)</t>
  </si>
  <si>
    <t>BMS500-AAM018-1CSXRD</t>
  </si>
  <si>
    <t>Bosch Climate 5000 Regular Multi-Zone Ductless Heat Pump Outdoor Unit — 2.25 Ton (up to 4 zones)</t>
  </si>
  <si>
    <t>BMS500-AAM027-1CSXRD</t>
  </si>
  <si>
    <t>Bosch Climate 5000 Regular Multi-Zone Ductless Heat Pump Outdoor Unit — 3 Ton (up to 5 zones)</t>
  </si>
  <si>
    <t>BMS500-AAM036-1CSXRD</t>
  </si>
  <si>
    <t>Bosch Climate 5000 Regular Multi-Zone Ductless Heat Pump Outdoor Unit — 4 Ton (up to 5 zones)</t>
  </si>
  <si>
    <t>BMS500-AAM048-1CSXRD</t>
  </si>
  <si>
    <t>Bosch Climate 5000 Max Performance Multi-Zone Ductless Heat Pump Outdoor Unit — 1.5 Ton (up to 3 zones)</t>
  </si>
  <si>
    <t>BMS500-AAM018-1CSXHD</t>
  </si>
  <si>
    <t>Bosch Climate 5000 Max Performance Multi-Zone Ductless Heat Pump Outdoor Unit — 2.25 Ton (up to 4 zones)</t>
  </si>
  <si>
    <t>BMS500-AAM027-1CSXHD</t>
  </si>
  <si>
    <t>Bosch Climate 5000 Max Performance Multi-Zone Ductless Heat Pump Outdoor Unit — 3 Ton (up to 5 zones)</t>
  </si>
  <si>
    <t>BMS500-AAM036-1CSXHD</t>
  </si>
  <si>
    <t>Bosch Climate 5000 Max Performance Multi-Zone Ductless Heat Pump Outdoor Unit — 4 Ton (up to 5 zones)</t>
  </si>
  <si>
    <t>BMS500-AAM048-1CSXHD</t>
  </si>
  <si>
    <t>Friedrich</t>
  </si>
  <si>
    <t>Friedrich 16/25</t>
  </si>
  <si>
    <t>WFPU17Y243D</t>
  </si>
  <si>
    <t>Friedrich 21/30</t>
  </si>
  <si>
    <t>WFPU17Y363D</t>
  </si>
  <si>
    <t>Friedrich 33/50</t>
  </si>
  <si>
    <t>WFPU17Y483D</t>
  </si>
  <si>
    <t>WFPU17Y603D</t>
  </si>
  <si>
    <t>Friedrich 3.3/10</t>
  </si>
  <si>
    <t>WFH24Y193D</t>
  </si>
  <si>
    <t>Friedrich 4.8/10</t>
  </si>
  <si>
    <t>WFH36Y193D</t>
  </si>
  <si>
    <t>Friedrich 6.8/10</t>
  </si>
  <si>
    <t>WFH48Y223D</t>
  </si>
  <si>
    <t>WFH60Y223D</t>
  </si>
  <si>
    <t>Electric Heat Kit</t>
  </si>
  <si>
    <t>Friedrich 5KW Electric Heater Kit</t>
  </si>
  <si>
    <t>AUX5KW</t>
  </si>
  <si>
    <t>Friedrich 7.5KW Electric Heater Kit</t>
  </si>
  <si>
    <t>21-4245-02-A2L</t>
  </si>
  <si>
    <t>Friedrich 10KW Electric Heater Kit</t>
  </si>
  <si>
    <t>AUX10KW</t>
  </si>
  <si>
    <t>Friedrich 15KW Electric Heater Kit</t>
  </si>
  <si>
    <t>AUX15KW</t>
  </si>
  <si>
    <t>Friedrich 20KW Electric Heater Kit</t>
  </si>
  <si>
    <t>AUX20KW</t>
  </si>
  <si>
    <t>Reme Halo</t>
  </si>
  <si>
    <t>RGF</t>
  </si>
  <si>
    <t>RGF Zero Whole Home In-Duct Air Purifier- w/timer</t>
  </si>
  <si>
    <t>ZERO-H4-AC</t>
  </si>
  <si>
    <t>RGF Zero Whole Home In-Duct Air Purifier</t>
  </si>
  <si>
    <t>ZERO-H4-AC-T</t>
  </si>
  <si>
    <t>RGF Whole Home In-Duct LED Air Purifier</t>
  </si>
  <si>
    <t>REME-LED-AS</t>
  </si>
  <si>
    <t>RGF Replacement Cell For Zero Whole Purifier</t>
  </si>
  <si>
    <t>PHIC-RH-3</t>
  </si>
  <si>
    <t>RGF Replacement Cell For REME-LED</t>
  </si>
  <si>
    <t>PHIC-REME-LED</t>
  </si>
  <si>
    <t>Furnance</t>
  </si>
  <si>
    <t>Mortex</t>
  </si>
  <si>
    <t>Mortex E30 Series Electric/Fan Coil Air Handler — Model E30B3D010ABD</t>
  </si>
  <si>
    <t>E30B3D010ABD</t>
  </si>
  <si>
    <t>Mortex E30 Series Electric/Fan Coil Air Handler — Model E30B3D012ABD</t>
  </si>
  <si>
    <t>E30B3D012ABD</t>
  </si>
  <si>
    <t>Mortex E30 Series Electric/Fan Coil Air Handler — Model E30B3D015ABD</t>
  </si>
  <si>
    <t>E30B3D015ABD</t>
  </si>
  <si>
    <t>Mortex E30 Series Electric/Fan Coil Air Handler — Model E30B3D020ABD</t>
  </si>
  <si>
    <t>E30B3D020ABD</t>
  </si>
  <si>
    <t>Coils</t>
  </si>
  <si>
    <t>Mortex Cased Coil — Model RPM1824D14A 18" x 19.63" x 14", TXV: D</t>
  </si>
  <si>
    <t>RPM1824D14A</t>
  </si>
  <si>
    <t>Mortex Cased Coil — Model RPM3036Y20E1 18" x 19.63" x 20", TXV: Y</t>
  </si>
  <si>
    <t>RPM3036Y20E1</t>
  </si>
  <si>
    <t>Mortex Cased Coil — Model RPM4248Y26E2 18" x 19.63" x 26.5", TXV: Y</t>
  </si>
  <si>
    <t>RPM4248Y26E2</t>
  </si>
  <si>
    <t>Mortex Cased Coil — Model RPM1723D18A 18" x 19.63" x 18.5", TXV: D</t>
  </si>
  <si>
    <t>RPM1723D18A</t>
  </si>
  <si>
    <t>Mortex Cased Coil — Model RPM2935Y18A 18" x 19.63" x 18.5", TXV: Y</t>
  </si>
  <si>
    <t>RPM2935Y18A</t>
  </si>
  <si>
    <t>Mortex Cased Coil — Model 96-8G4DOP 18" x 19.63" x 18"</t>
  </si>
  <si>
    <t>96-8G4DOP</t>
  </si>
  <si>
    <t>Mortex Cased Coil — Model 98-8G7YOP 18" x 19.63" x 24"</t>
  </si>
  <si>
    <t>98-8G7YOP</t>
  </si>
  <si>
    <t>Mortex Cased Coil — Model 98-8W7N-OP 18" x 19.63" x 24.5"</t>
  </si>
  <si>
    <t>98-8W7N-OP</t>
  </si>
  <si>
    <t>Mortex Cased Coil — Model 98-8W12YOP 18" x 19.63" x 34.5"</t>
  </si>
  <si>
    <t>98-8W12YOP</t>
  </si>
  <si>
    <t>1.5 - 3 Ton R22</t>
  </si>
  <si>
    <t>R72DB0005</t>
  </si>
  <si>
    <t>2 - 3 Ton R410A</t>
  </si>
  <si>
    <t>R72DB0053</t>
  </si>
  <si>
    <t>2.5 - 4 Ton R410A</t>
  </si>
  <si>
    <t>R72DB0054</t>
  </si>
  <si>
    <t>R72DB0054HX</t>
  </si>
  <si>
    <t>E30 Accessories</t>
  </si>
  <si>
    <t>97-FLOB-21</t>
  </si>
  <si>
    <t>97-FLOB-27</t>
  </si>
  <si>
    <t>97-FG-24</t>
  </si>
  <si>
    <t>R68BAE003</t>
  </si>
  <si>
    <t>R86AA0026</t>
  </si>
  <si>
    <t>R86WKT002</t>
  </si>
  <si>
    <t>Unit Heater</t>
  </si>
  <si>
    <t>Modine</t>
  </si>
  <si>
    <t>Modine Hot Dawg HD Unit Heater — 30000 BTU</t>
  </si>
  <si>
    <t>HD30AS0111</t>
  </si>
  <si>
    <t>Modine Hot Dawg HD Unit Heater — 45000 BTU</t>
  </si>
  <si>
    <t>HD45AS0111</t>
  </si>
  <si>
    <t>Modine Hot Dawg HD Unit Heater — 60000 BTU</t>
  </si>
  <si>
    <t>HD60AS0111</t>
  </si>
  <si>
    <t>Modine Hot Dawg HD Unit Heater — 75000 BTU</t>
  </si>
  <si>
    <t>HD75AS0111</t>
  </si>
  <si>
    <t>Modine Hot Dawg HD Unit Heater — 100000 BTU</t>
  </si>
  <si>
    <t>HD100AS0111</t>
  </si>
  <si>
    <t>Modine Hot Dawg HD Unit Heater — 125000 BTU</t>
  </si>
  <si>
    <t>HD125AS0111</t>
  </si>
  <si>
    <t>Modine Hot Dawg HD Unit Heater — 150000 BTU</t>
  </si>
  <si>
    <t>PDP150AE0130</t>
  </si>
  <si>
    <t>Modine Hot Dawg HD Unit Heater — 175000 BTU</t>
  </si>
  <si>
    <t>PDP175AE0130</t>
  </si>
  <si>
    <t>Modine Hot Dawg HD Unit Heater — 200000 BTU</t>
  </si>
  <si>
    <t>PDP200AE0130</t>
  </si>
  <si>
    <t>Modine Hot Dawg HD Unit Heater — 250000 BTU</t>
  </si>
  <si>
    <t>PDP250AE0130</t>
  </si>
  <si>
    <t>Modine Hot Dawg HD Unit Heater — LP Conversion Kit PD150 BTU</t>
  </si>
  <si>
    <t>Modine Hot Dawg HD Unit Heater — LP Conversion Kit PD175 BTU</t>
  </si>
  <si>
    <t>Modine Hot Dawg HD Unit Heater — LP Conversion Kit PD200 BTU</t>
  </si>
  <si>
    <t>Modine Hot Dawg HD Unit Heater — LP Conversion Kit PDP250 BTU</t>
  </si>
  <si>
    <t>Modine Hot Dawg HD Unit Heater — NG - LP Conversion Kit HD30-75K BTU</t>
  </si>
  <si>
    <t>Modine Hot Dawg HD Unit Heater — NG To LP Conversion Kit HD100 BTU</t>
  </si>
  <si>
    <t>Modine Hot Dawg HD Unit Heater — NG To LP Conversion Kit HD125 BTU</t>
  </si>
  <si>
    <t>Modine Hot Dawg HD Unit Heater — Quickswivel "H" Low Pro BTU</t>
  </si>
  <si>
    <t>QSWI3000</t>
  </si>
  <si>
    <t>Thermostat</t>
  </si>
  <si>
    <t>Resideo</t>
  </si>
  <si>
    <t>Resideo TH1100DH1004 Thermostat</t>
  </si>
  <si>
    <t>TH1100DH1004</t>
  </si>
  <si>
    <t>Resideo TH1100DV1000 Thermostat</t>
  </si>
  <si>
    <t>TH1100DV1000</t>
  </si>
  <si>
    <t>Resideo TH1110D2009 Thermostat</t>
  </si>
  <si>
    <t>TH1110D2009</t>
  </si>
  <si>
    <t>Resideo TH1110E1000 Thermostat</t>
  </si>
  <si>
    <t>TH1110E1000</t>
  </si>
  <si>
    <t>Resideo TH4110U2005 Thermostat</t>
  </si>
  <si>
    <t>TH4110U2005</t>
  </si>
  <si>
    <t>Resideo TH4210U2002 Thermostat</t>
  </si>
  <si>
    <t>TH4210U2002</t>
  </si>
  <si>
    <t>Resideo TH6110D1021 Thermostat</t>
  </si>
  <si>
    <t>TH6110D1021</t>
  </si>
  <si>
    <t>Resideo TH6210U2001 Thermostat</t>
  </si>
  <si>
    <t>TH6210U2001</t>
  </si>
  <si>
    <t>Resideo TH6220U2000 Thermostat</t>
  </si>
  <si>
    <t>TH6220U2000</t>
  </si>
  <si>
    <t>Resideo TH6220WF2006 WiFi Thermostat</t>
  </si>
  <si>
    <t>TH6220WF2006</t>
  </si>
  <si>
    <t>Resideo TH6320WF2003 WiFi Thermostat</t>
  </si>
  <si>
    <t>TH6320WF2003</t>
  </si>
  <si>
    <t>Resideo TH8110R1008 Thermostat</t>
  </si>
  <si>
    <t>TH8110R1008</t>
  </si>
  <si>
    <t>Resideo TH8320R1003 Thermostat</t>
  </si>
  <si>
    <t>TH8320R1003</t>
  </si>
  <si>
    <t>Resideo TH8321R1001 Thermostat</t>
  </si>
  <si>
    <t>TH8321R1001</t>
  </si>
  <si>
    <t>Resideo TH8321WF1001 WiFi Thermostat</t>
  </si>
  <si>
    <t>TH8321WF1001</t>
  </si>
  <si>
    <t>Resideo TH9320WF5003 WiFi Thermostat</t>
  </si>
  <si>
    <t>TH9320WF5003</t>
  </si>
  <si>
    <t>Resideo THX321WFS3001W WiFi Thermostat</t>
  </si>
  <si>
    <t>THX321WFS3001W</t>
  </si>
  <si>
    <t>Resideo THM5320R1000 Thermostat</t>
  </si>
  <si>
    <t>THM5320R1000</t>
  </si>
  <si>
    <t>Resideo THM5421R1021 Thermostat</t>
  </si>
  <si>
    <t>THM5421R1021</t>
  </si>
  <si>
    <t>Resideo THM6000R7001 Thermostat</t>
  </si>
  <si>
    <t>THM6000R7001</t>
  </si>
  <si>
    <t>WIRELESS OUTDOOR SENSOR</t>
  </si>
  <si>
    <t>C7089R1013</t>
  </si>
  <si>
    <t>STANDARD OUTDOOR TEMP SENSOR</t>
  </si>
  <si>
    <t>C7089U1006</t>
  </si>
  <si>
    <t>WHITE REMOTE SENSOR - INDOOR</t>
  </si>
  <si>
    <t>C7189U1005</t>
  </si>
  <si>
    <t>WIRELESS ID SENSOR PRESTIGE</t>
  </si>
  <si>
    <t>C7189R1004</t>
  </si>
  <si>
    <t>WIRELESS REMOTE</t>
  </si>
  <si>
    <t>C7189R2002-2</t>
  </si>
  <si>
    <t>WIRELESS FOCUSPRO T-STAT KIT</t>
  </si>
  <si>
    <t>YTH6320R1001</t>
  </si>
  <si>
    <t>WIRELESS VISION PRO SYSTEM</t>
  </si>
  <si>
    <t>YTH8321R1002</t>
  </si>
  <si>
    <t>PRESTIGE IAQ T-STAT KIT</t>
  </si>
  <si>
    <t>YTHX9421R5085WW</t>
  </si>
  <si>
    <t>Water Heater</t>
  </si>
  <si>
    <t>Rudd</t>
  </si>
  <si>
    <t>Rudd PROE50M2</t>
  </si>
  <si>
    <t>PROE50M2</t>
  </si>
  <si>
    <t>Rudd PROE50T2</t>
  </si>
  <si>
    <t>PROE50T2</t>
  </si>
  <si>
    <t>Rudd PROG40-30N</t>
  </si>
  <si>
    <t>PROG40-30N</t>
  </si>
  <si>
    <t>Rudd PROG40-34N</t>
  </si>
  <si>
    <t>PROG40-34N</t>
  </si>
  <si>
    <t>Rudd PROG48-60N</t>
  </si>
  <si>
    <t>PROG48-60N</t>
  </si>
  <si>
    <t>Rudd PROG50-38N</t>
  </si>
  <si>
    <t>PROG50-38N</t>
  </si>
  <si>
    <t>Rudd PROG50-42N</t>
  </si>
  <si>
    <t>PROG50-42N</t>
  </si>
  <si>
    <t>Rudd PROG75-76N</t>
  </si>
  <si>
    <t>PROG75-76N</t>
  </si>
  <si>
    <t>Rudd PROH50-T2-RU310UM</t>
  </si>
  <si>
    <t>PROH50-T2-RU310UM</t>
  </si>
  <si>
    <t>Rudd RUTGH-90DVLN-2</t>
  </si>
  <si>
    <t>RUTGH-90DVLN-2</t>
  </si>
  <si>
    <t>Rudd RUTGH-95DVLN-2</t>
  </si>
  <si>
    <t>RUTGH-95DVLN-2</t>
  </si>
  <si>
    <t>Rudd RUTGH-95DVLP-2</t>
  </si>
  <si>
    <t>RUTGH-95DVLP-2</t>
  </si>
  <si>
    <t>Bosch Greentherm Tankless Water Heater — T9800 SE 199, 199k BTU</t>
  </si>
  <si>
    <t>T9800 SE 199</t>
  </si>
  <si>
    <t>Bosch Greentherm Tankless Water Heater — T9900 SE 199, 199k BTU</t>
  </si>
  <si>
    <t>T9900 SE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</si>
</sst>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ptos Narrow"/>
      <scheme val="minor"/>
    </font>
    <font>
      <sz val="10.0"/>
      <color rgb="FFFF0000"/>
      <name val="Arial"/>
    </font>
    <font>
      <sz val="10.0"/>
      <color rgb="FF000000"/>
      <name val="Arial"/>
    </font>
    <font/>
    <font>
      <b/>
      <sz val="10.0"/>
      <color rgb="FFFFFFFF"/>
      <name val="Calibri"/>
    </font>
    <font>
      <sz val="10.0"/>
      <color rgb="FFFFFFFF"/>
      <name val="Calibri"/>
    </font>
    <font>
      <b/>
      <sz val="8.0"/>
      <color rgb="FFFFFFFF"/>
      <name val="Calibri"/>
    </font>
    <font>
      <sz val="8.0"/>
      <color rgb="FFFFFFFF"/>
      <name val="Calibri"/>
    </font>
    <font>
      <b/>
      <sz val="9.0"/>
      <color rgb="FFFFFFFF"/>
      <name val="Calibri"/>
    </font>
    <font>
      <sz val="10.0"/>
      <color theme="1"/>
      <name val="Calibri"/>
    </font>
    <font>
      <sz val="10.0"/>
      <color theme="0"/>
      <name val="Calibri"/>
    </font>
    <font>
      <sz val="11.0"/>
      <color theme="1"/>
      <name val="Calibri"/>
    </font>
    <font>
      <sz val="10.0"/>
      <color rgb="FF000000"/>
      <name val="Calibri"/>
    </font>
    <font>
      <color theme="1"/>
      <name val="Aptos Narrow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19455"/>
        <bgColor rgb="FFF19455"/>
      </patternFill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2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5" fillId="2" fontId="2" numFmtId="2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7" fontId="4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" fillId="5" fontId="6" numFmtId="0" xfId="0" applyAlignment="1" applyBorder="1" applyFont="1">
      <alignment horizontal="center" shrinkToFit="0" vertical="top" wrapText="1"/>
    </xf>
    <xf borderId="1" fillId="7" fontId="6" numFmtId="0" xfId="0" applyAlignment="1" applyBorder="1" applyFont="1">
      <alignment horizontal="center" shrinkToFit="0" vertical="top" wrapText="1"/>
    </xf>
    <xf borderId="1" fillId="7" fontId="8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9" xfId="0" applyFont="1" applyNumberFormat="1"/>
    <xf borderId="6" fillId="8" fontId="10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8" fontId="10" numFmtId="2" xfId="0" applyAlignment="1" applyBorder="1" applyFont="1" applyNumberFormat="1">
      <alignment horizontal="center"/>
    </xf>
    <xf borderId="1" fillId="8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9" numFmtId="164" xfId="0" applyFont="1" applyNumberFormat="1"/>
    <xf borderId="0" fillId="0" fontId="11" numFmtId="0" xfId="0" applyAlignment="1" applyFont="1">
      <alignment vertical="bottom"/>
    </xf>
    <xf borderId="0" fillId="0" fontId="11" numFmtId="9" xfId="0" applyAlignment="1" applyFont="1" applyNumberFormat="1">
      <alignment vertical="bottom"/>
    </xf>
    <xf borderId="0" fillId="0" fontId="10" numFmtId="0" xfId="0" applyFont="1"/>
    <xf borderId="0" fillId="0" fontId="10" numFmtId="2" xfId="0" applyFont="1" applyNumberFormat="1"/>
    <xf borderId="0" fillId="0" fontId="10" numFmtId="0" xfId="0" applyAlignment="1" applyFont="1">
      <alignment horizontal="center"/>
    </xf>
    <xf borderId="0" fillId="0" fontId="11" numFmtId="164" xfId="0" applyAlignment="1" applyFont="1" applyNumberFormat="1">
      <alignment horizontal="right" readingOrder="0" vertical="bottom"/>
    </xf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9" numFmtId="2" xfId="0" applyFont="1" applyNumberFormat="1"/>
    <xf borderId="0" fillId="0" fontId="9" numFmtId="164" xfId="0" applyAlignment="1" applyFont="1" applyNumberFormat="1">
      <alignment readingOrder="0"/>
    </xf>
    <xf borderId="0" fillId="0" fontId="11" numFmtId="0" xfId="0" applyAlignment="1" applyFont="1">
      <alignment vertical="bottom"/>
    </xf>
    <xf borderId="0" fillId="0" fontId="13" numFmtId="0" xfId="0" applyFont="1"/>
    <xf borderId="0" fillId="0" fontId="13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7.57"/>
    <col customWidth="1" min="3" max="5" width="16.43"/>
    <col customWidth="1" hidden="1" min="6" max="6" width="11.57"/>
    <col customWidth="1" hidden="1" min="7" max="7" width="16.43"/>
    <col customWidth="1" hidden="1" min="8" max="8" width="19.86"/>
    <col customWidth="1" hidden="1" min="9" max="9" width="18.86"/>
    <col customWidth="1" hidden="1" min="10" max="10" width="11.14"/>
    <col customWidth="1" hidden="1" min="11" max="11" width="12.43"/>
    <col customWidth="1" hidden="1" min="12" max="12" width="9.86"/>
    <col customWidth="1" hidden="1" min="13" max="13" width="4.86"/>
    <col customWidth="1" hidden="1" min="14" max="14" width="10.14"/>
    <col customWidth="1" hidden="1" min="15" max="15" width="9.0"/>
    <col customWidth="1" hidden="1" min="16" max="16" width="8.86"/>
    <col customWidth="1" hidden="1" min="17" max="17" width="10.0"/>
    <col customWidth="1" hidden="1" min="18" max="18" width="14.57"/>
    <col customWidth="1" hidden="1" min="19" max="19" width="18.14"/>
    <col customWidth="1" hidden="1" min="20" max="20" width="16.57"/>
    <col customWidth="1" hidden="1" min="21" max="21" width="9.43"/>
    <col customWidth="1" min="22" max="22" width="21.57"/>
    <col customWidth="1" hidden="1" min="23" max="23" width="23.86"/>
    <col customWidth="1" min="24" max="24" width="61.14"/>
    <col customWidth="1" min="25" max="25" width="15.43"/>
    <col customWidth="1" min="26" max="26" width="8.43"/>
    <col customWidth="1" min="27" max="27" width="19.14"/>
    <col customWidth="1" min="28" max="28" width="10.43"/>
    <col customWidth="1" hidden="1" min="29" max="29" width="13.43"/>
    <col customWidth="1" min="30" max="30" width="16.14"/>
    <col customWidth="1" min="31" max="31" width="25.57"/>
    <col customWidth="1" min="32" max="32" width="16.86"/>
    <col customWidth="1" min="33" max="33" width="8.43"/>
    <col customWidth="1" min="34" max="34" width="20.14"/>
    <col customWidth="1" min="35" max="35" width="19.57"/>
    <col customWidth="1" min="36" max="36" width="22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2"/>
      <c r="AE1" s="2"/>
      <c r="AF1" s="2"/>
      <c r="AG1" s="2"/>
      <c r="AH1" s="2"/>
      <c r="AI1" s="2"/>
      <c r="AJ1" s="2"/>
    </row>
    <row r="2" hidden="1">
      <c r="A2" s="5" t="s">
        <v>0</v>
      </c>
      <c r="B2" s="6"/>
      <c r="C2" s="6"/>
      <c r="D2" s="6"/>
      <c r="E2" s="7"/>
      <c r="F2" s="8"/>
      <c r="G2" s="8"/>
      <c r="H2" s="8"/>
      <c r="I2" s="8"/>
      <c r="J2" s="8"/>
      <c r="K2" s="8"/>
      <c r="L2" s="8"/>
      <c r="M2" s="9"/>
      <c r="N2" s="10"/>
      <c r="O2" s="9"/>
      <c r="P2" s="9"/>
      <c r="Q2" s="8"/>
      <c r="R2" s="8"/>
      <c r="S2" s="8"/>
      <c r="T2" s="8"/>
      <c r="U2" s="8"/>
      <c r="V2" s="8" t="s">
        <v>1</v>
      </c>
      <c r="W2" s="8" t="s">
        <v>2</v>
      </c>
      <c r="X2" s="8" t="s">
        <v>3</v>
      </c>
      <c r="Y2" s="8" t="s">
        <v>4</v>
      </c>
      <c r="Z2" s="8"/>
      <c r="AA2" s="9" t="s">
        <v>5</v>
      </c>
      <c r="AB2" s="9" t="s">
        <v>6</v>
      </c>
      <c r="AC2" s="9"/>
      <c r="AD2" s="8" t="s">
        <v>7</v>
      </c>
      <c r="AE2" s="8" t="s">
        <v>8</v>
      </c>
      <c r="AF2" s="8" t="s">
        <v>9</v>
      </c>
      <c r="AG2" s="8" t="s">
        <v>9</v>
      </c>
      <c r="AH2" s="8"/>
      <c r="AI2" s="8"/>
      <c r="AJ2" s="8"/>
    </row>
    <row r="3">
      <c r="A3" s="11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1" t="s">
        <v>22</v>
      </c>
      <c r="N3" s="12" t="s">
        <v>23</v>
      </c>
      <c r="O3" s="12" t="s">
        <v>24</v>
      </c>
      <c r="P3" s="12" t="s">
        <v>25</v>
      </c>
      <c r="Q3" s="12" t="s">
        <v>26</v>
      </c>
      <c r="R3" s="12" t="s">
        <v>27</v>
      </c>
      <c r="S3" s="12" t="s">
        <v>28</v>
      </c>
      <c r="T3" s="12" t="s">
        <v>29</v>
      </c>
      <c r="U3" s="12" t="s">
        <v>30</v>
      </c>
      <c r="V3" s="13" t="s">
        <v>31</v>
      </c>
      <c r="W3" s="14" t="s">
        <v>32</v>
      </c>
      <c r="X3" s="14" t="s">
        <v>33</v>
      </c>
      <c r="Y3" s="15" t="s">
        <v>34</v>
      </c>
      <c r="Z3" s="14" t="s">
        <v>35</v>
      </c>
      <c r="AA3" s="14" t="s">
        <v>36</v>
      </c>
      <c r="AB3" s="13" t="s">
        <v>37</v>
      </c>
      <c r="AC3" s="13" t="s">
        <v>38</v>
      </c>
      <c r="AD3" s="14" t="s">
        <v>39</v>
      </c>
      <c r="AE3" s="14" t="s">
        <v>40</v>
      </c>
      <c r="AF3" s="16" t="s">
        <v>41</v>
      </c>
      <c r="AG3" s="16" t="s">
        <v>42</v>
      </c>
      <c r="AH3" s="16" t="s">
        <v>43</v>
      </c>
      <c r="AI3" s="16" t="s">
        <v>44</v>
      </c>
      <c r="AJ3" s="16" t="s">
        <v>45</v>
      </c>
    </row>
    <row r="4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  <c r="F4" s="11"/>
      <c r="G4" s="11"/>
      <c r="H4" s="11"/>
      <c r="I4" s="11"/>
      <c r="J4" s="11"/>
      <c r="K4" s="11"/>
      <c r="L4" s="11"/>
      <c r="M4" s="11"/>
      <c r="N4" s="12"/>
      <c r="O4" s="12"/>
      <c r="P4" s="12"/>
      <c r="Q4" s="12"/>
      <c r="R4" s="12"/>
      <c r="S4" s="12"/>
      <c r="T4" s="12"/>
      <c r="U4" s="12"/>
      <c r="V4" s="18" t="s">
        <v>51</v>
      </c>
      <c r="W4" s="14" t="s">
        <v>52</v>
      </c>
      <c r="X4" s="19" t="s">
        <v>53</v>
      </c>
      <c r="Y4" s="19" t="s">
        <v>54</v>
      </c>
      <c r="Z4" s="19" t="s">
        <v>55</v>
      </c>
      <c r="AA4" s="19" t="s">
        <v>56</v>
      </c>
      <c r="AB4" s="19" t="s">
        <v>57</v>
      </c>
      <c r="AC4" s="13"/>
      <c r="AD4" s="19" t="s">
        <v>58</v>
      </c>
      <c r="AE4" s="19" t="s">
        <v>59</v>
      </c>
      <c r="AF4" s="20" t="s">
        <v>60</v>
      </c>
      <c r="AG4" s="20" t="s">
        <v>61</v>
      </c>
      <c r="AH4" s="20" t="s">
        <v>62</v>
      </c>
      <c r="AI4" s="20" t="s">
        <v>63</v>
      </c>
      <c r="AJ4" s="21" t="s">
        <v>64</v>
      </c>
    </row>
    <row r="5" ht="15.75" customHeight="1">
      <c r="A5" s="22" t="s">
        <v>65</v>
      </c>
      <c r="B5" s="23" t="s">
        <v>66</v>
      </c>
      <c r="C5" s="22"/>
      <c r="D5" s="22"/>
      <c r="E5" s="22"/>
      <c r="F5" s="24" t="s">
        <v>67</v>
      </c>
      <c r="G5" s="25"/>
      <c r="H5" s="25"/>
      <c r="I5" s="25"/>
      <c r="J5" s="25"/>
      <c r="K5" s="25"/>
      <c r="L5" s="25"/>
      <c r="M5" s="26"/>
      <c r="N5" s="27" t="s">
        <v>68</v>
      </c>
      <c r="O5" s="25"/>
      <c r="P5" s="25"/>
      <c r="Q5" s="25"/>
      <c r="R5" s="25"/>
      <c r="S5" s="25"/>
      <c r="T5" s="25"/>
      <c r="U5" s="26"/>
      <c r="V5" s="22" t="s">
        <v>69</v>
      </c>
      <c r="W5" s="28" t="s">
        <v>70</v>
      </c>
      <c r="X5" s="22" t="s">
        <v>71</v>
      </c>
      <c r="Y5" s="29" t="s">
        <v>72</v>
      </c>
      <c r="Z5" s="22"/>
      <c r="AA5" s="30">
        <v>1210.0</v>
      </c>
      <c r="AB5" s="31">
        <v>0.0</v>
      </c>
      <c r="AC5" s="28" t="s">
        <v>70</v>
      </c>
      <c r="AD5" s="22">
        <v>1234.0</v>
      </c>
      <c r="AE5" s="22" t="s">
        <v>73</v>
      </c>
      <c r="AF5" s="29" t="s">
        <v>72</v>
      </c>
      <c r="AG5" s="22" t="s">
        <v>74</v>
      </c>
      <c r="AH5" s="22" t="s">
        <v>75</v>
      </c>
      <c r="AI5" s="22"/>
      <c r="AJ5" s="22" t="s">
        <v>76</v>
      </c>
    </row>
    <row r="6" ht="15.75" customHeight="1">
      <c r="A6" s="32" t="s">
        <v>77</v>
      </c>
      <c r="B6" s="33" t="s">
        <v>78</v>
      </c>
      <c r="C6" s="32" t="s">
        <v>79</v>
      </c>
      <c r="D6" s="22"/>
      <c r="E6" s="22"/>
      <c r="F6" s="34"/>
      <c r="G6" s="34"/>
      <c r="H6" s="34"/>
      <c r="I6" s="34"/>
      <c r="J6" s="34"/>
      <c r="K6" s="34"/>
      <c r="L6" s="34"/>
      <c r="M6" s="34"/>
      <c r="N6" s="35"/>
      <c r="O6" s="35"/>
      <c r="P6" s="35"/>
      <c r="Q6" s="35"/>
      <c r="R6" s="35"/>
      <c r="S6" s="35"/>
      <c r="T6" s="35"/>
      <c r="U6" s="35"/>
      <c r="V6" s="32" t="s">
        <v>80</v>
      </c>
      <c r="W6" s="36"/>
      <c r="X6" s="34"/>
      <c r="Y6" s="29" t="s">
        <v>72</v>
      </c>
      <c r="Z6" s="34"/>
      <c r="AA6" s="37">
        <v>1210.0</v>
      </c>
      <c r="AB6" s="38">
        <v>1694.0</v>
      </c>
      <c r="AC6" s="34"/>
      <c r="AD6" s="32" t="s">
        <v>81</v>
      </c>
      <c r="AE6" s="34"/>
      <c r="AF6" s="39" t="s">
        <v>72</v>
      </c>
      <c r="AG6" s="34"/>
      <c r="AH6" s="40" t="str">
        <f t="shared" ref="AH6:AH489" si="1">C6</f>
        <v>RUUD</v>
      </c>
      <c r="AI6" s="39" t="s">
        <v>82</v>
      </c>
      <c r="AJ6" s="34"/>
    </row>
    <row r="7" ht="15.75" customHeight="1">
      <c r="A7" s="32" t="s">
        <v>77</v>
      </c>
      <c r="B7" s="33" t="s">
        <v>78</v>
      </c>
      <c r="C7" s="32" t="s">
        <v>79</v>
      </c>
      <c r="D7" s="22"/>
      <c r="E7" s="22"/>
      <c r="F7" s="22"/>
      <c r="G7" s="22"/>
      <c r="H7" s="22"/>
      <c r="I7" s="22"/>
      <c r="J7" s="22"/>
      <c r="K7" s="22"/>
      <c r="L7" s="22"/>
      <c r="M7" s="41"/>
      <c r="N7" s="41"/>
      <c r="O7" s="31"/>
      <c r="P7" s="31"/>
      <c r="Q7" s="22"/>
      <c r="R7" s="22"/>
      <c r="S7" s="22"/>
      <c r="T7" s="22"/>
      <c r="U7" s="22"/>
      <c r="V7" s="32" t="s">
        <v>83</v>
      </c>
      <c r="W7" s="22"/>
      <c r="X7" s="22"/>
      <c r="Y7" s="29" t="s">
        <v>72</v>
      </c>
      <c r="Z7" s="22"/>
      <c r="AA7" s="37">
        <v>1342.81</v>
      </c>
      <c r="AB7" s="42">
        <v>1879.93</v>
      </c>
      <c r="AC7" s="31"/>
      <c r="AD7" s="32" t="s">
        <v>84</v>
      </c>
      <c r="AE7" s="22"/>
      <c r="AF7" s="29" t="s">
        <v>85</v>
      </c>
      <c r="AG7" s="40"/>
      <c r="AH7" s="40" t="str">
        <f t="shared" si="1"/>
        <v>RUUD</v>
      </c>
      <c r="AI7" s="39" t="s">
        <v>82</v>
      </c>
      <c r="AJ7" s="22"/>
    </row>
    <row r="8" ht="15.75" customHeight="1">
      <c r="A8" s="32" t="s">
        <v>77</v>
      </c>
      <c r="B8" s="33" t="s">
        <v>78</v>
      </c>
      <c r="C8" s="32" t="s">
        <v>79</v>
      </c>
      <c r="D8" s="22"/>
      <c r="E8" s="22"/>
      <c r="G8" s="22"/>
      <c r="H8" s="22"/>
      <c r="I8" s="22"/>
      <c r="J8" s="22"/>
      <c r="K8" s="22"/>
      <c r="L8" s="22"/>
      <c r="M8" s="41"/>
      <c r="N8" s="41"/>
      <c r="O8" s="31"/>
      <c r="P8" s="31"/>
      <c r="Q8" s="22"/>
      <c r="R8" s="22"/>
      <c r="S8" s="22"/>
      <c r="T8" s="22"/>
      <c r="U8" s="22"/>
      <c r="V8" s="43" t="s">
        <v>86</v>
      </c>
      <c r="W8" s="22"/>
      <c r="X8" s="22"/>
      <c r="Y8" s="29" t="s">
        <v>72</v>
      </c>
      <c r="Z8" s="22"/>
      <c r="AA8" s="37">
        <v>2289.93</v>
      </c>
      <c r="AB8" s="42">
        <v>3205.9</v>
      </c>
      <c r="AC8" s="31"/>
      <c r="AD8" s="32" t="s">
        <v>87</v>
      </c>
      <c r="AE8" s="22"/>
      <c r="AF8" s="29" t="s">
        <v>85</v>
      </c>
      <c r="AG8" s="40"/>
      <c r="AH8" s="40" t="str">
        <f t="shared" si="1"/>
        <v>RUUD</v>
      </c>
      <c r="AI8" s="39" t="s">
        <v>82</v>
      </c>
      <c r="AJ8" s="22"/>
    </row>
    <row r="9" ht="15.75" customHeight="1">
      <c r="A9" s="32" t="s">
        <v>77</v>
      </c>
      <c r="B9" s="33" t="s">
        <v>78</v>
      </c>
      <c r="C9" s="32" t="s">
        <v>79</v>
      </c>
      <c r="D9" s="22"/>
      <c r="E9" s="22"/>
      <c r="G9" s="22"/>
      <c r="H9" s="22"/>
      <c r="I9" s="22"/>
      <c r="J9" s="22"/>
      <c r="K9" s="22"/>
      <c r="L9" s="22"/>
      <c r="M9" s="41"/>
      <c r="N9" s="41"/>
      <c r="O9" s="31"/>
      <c r="P9" s="31"/>
      <c r="Q9" s="22"/>
      <c r="R9" s="22"/>
      <c r="S9" s="22"/>
      <c r="T9" s="22"/>
      <c r="U9" s="22"/>
      <c r="V9" s="43" t="s">
        <v>88</v>
      </c>
      <c r="W9" s="22"/>
      <c r="X9" s="22"/>
      <c r="Y9" s="29" t="s">
        <v>72</v>
      </c>
      <c r="Z9" s="22"/>
      <c r="AA9" s="37">
        <v>1534.66</v>
      </c>
      <c r="AB9" s="42">
        <v>2148.52</v>
      </c>
      <c r="AC9" s="31"/>
      <c r="AD9" s="32" t="s">
        <v>89</v>
      </c>
      <c r="AE9" s="22"/>
      <c r="AF9" s="29" t="s">
        <v>85</v>
      </c>
      <c r="AG9" s="40"/>
      <c r="AH9" s="40" t="str">
        <f t="shared" si="1"/>
        <v>RUUD</v>
      </c>
      <c r="AI9" s="39" t="s">
        <v>82</v>
      </c>
      <c r="AJ9" s="22"/>
    </row>
    <row r="10" ht="15.75" customHeight="1">
      <c r="A10" s="32" t="s">
        <v>77</v>
      </c>
      <c r="B10" s="33" t="s">
        <v>78</v>
      </c>
      <c r="C10" s="32" t="s">
        <v>79</v>
      </c>
      <c r="D10" s="22"/>
      <c r="E10" s="22"/>
      <c r="G10" s="22"/>
      <c r="H10" s="22"/>
      <c r="I10" s="22"/>
      <c r="J10" s="22"/>
      <c r="K10" s="22"/>
      <c r="L10" s="22"/>
      <c r="M10" s="41"/>
      <c r="N10" s="41"/>
      <c r="O10" s="31"/>
      <c r="P10" s="31"/>
      <c r="Q10" s="22"/>
      <c r="R10" s="22"/>
      <c r="S10" s="22"/>
      <c r="T10" s="22"/>
      <c r="U10" s="22"/>
      <c r="V10" s="43" t="s">
        <v>90</v>
      </c>
      <c r="W10" s="22"/>
      <c r="X10" s="22"/>
      <c r="Y10" s="29" t="s">
        <v>72</v>
      </c>
      <c r="Z10" s="22"/>
      <c r="AA10" s="37">
        <v>1655.12</v>
      </c>
      <c r="AB10" s="42">
        <v>2317.16</v>
      </c>
      <c r="AC10" s="31"/>
      <c r="AD10" s="32" t="s">
        <v>91</v>
      </c>
      <c r="AE10" s="22"/>
      <c r="AF10" s="29" t="s">
        <v>85</v>
      </c>
      <c r="AG10" s="40"/>
      <c r="AH10" s="40" t="str">
        <f t="shared" si="1"/>
        <v>RUUD</v>
      </c>
      <c r="AI10" s="39" t="s">
        <v>82</v>
      </c>
      <c r="AJ10" s="22"/>
    </row>
    <row r="11" ht="15.75" customHeight="1">
      <c r="A11" s="32" t="s">
        <v>77</v>
      </c>
      <c r="B11" s="33" t="s">
        <v>78</v>
      </c>
      <c r="C11" s="32" t="s">
        <v>79</v>
      </c>
      <c r="D11" s="22"/>
      <c r="E11" s="22"/>
      <c r="G11" s="22"/>
      <c r="H11" s="22"/>
      <c r="I11" s="22"/>
      <c r="J11" s="22"/>
      <c r="K11" s="22"/>
      <c r="L11" s="22"/>
      <c r="M11" s="41"/>
      <c r="N11" s="41"/>
      <c r="O11" s="41"/>
      <c r="P11" s="31"/>
      <c r="Q11" s="22"/>
      <c r="R11" s="22"/>
      <c r="S11" s="22"/>
      <c r="T11" s="22"/>
      <c r="U11" s="22"/>
      <c r="V11" s="43" t="s">
        <v>92</v>
      </c>
      <c r="W11" s="22"/>
      <c r="X11" s="22"/>
      <c r="Y11" s="29" t="s">
        <v>72</v>
      </c>
      <c r="Z11" s="22"/>
      <c r="AA11" s="37">
        <v>1787.9</v>
      </c>
      <c r="AB11" s="42">
        <v>2503.06</v>
      </c>
      <c r="AC11" s="31"/>
      <c r="AD11" s="32" t="s">
        <v>93</v>
      </c>
      <c r="AE11" s="22"/>
      <c r="AF11" s="29" t="s">
        <v>85</v>
      </c>
      <c r="AG11" s="40"/>
      <c r="AH11" s="40" t="str">
        <f t="shared" si="1"/>
        <v>RUUD</v>
      </c>
      <c r="AI11" s="39" t="s">
        <v>82</v>
      </c>
      <c r="AJ11" s="22"/>
    </row>
    <row r="12" ht="15.75" customHeight="1">
      <c r="A12" s="32" t="s">
        <v>77</v>
      </c>
      <c r="B12" s="33" t="s">
        <v>78</v>
      </c>
      <c r="C12" s="32" t="s">
        <v>79</v>
      </c>
      <c r="D12" s="22"/>
      <c r="E12" s="22"/>
      <c r="G12" s="22"/>
      <c r="H12" s="22"/>
      <c r="I12" s="22"/>
      <c r="J12" s="22"/>
      <c r="K12" s="22"/>
      <c r="L12" s="22"/>
      <c r="M12" s="41"/>
      <c r="N12" s="41"/>
      <c r="O12" s="31"/>
      <c r="P12" s="31"/>
      <c r="Q12" s="22"/>
      <c r="R12" s="22"/>
      <c r="S12" s="22"/>
      <c r="T12" s="22"/>
      <c r="U12" s="22"/>
      <c r="V12" s="43" t="s">
        <v>94</v>
      </c>
      <c r="W12" s="22"/>
      <c r="X12" s="22"/>
      <c r="Y12" s="29" t="s">
        <v>72</v>
      </c>
      <c r="Z12" s="22"/>
      <c r="AA12" s="37">
        <v>1790.39</v>
      </c>
      <c r="AB12" s="42">
        <v>2506.55</v>
      </c>
      <c r="AC12" s="31"/>
      <c r="AD12" s="32" t="s">
        <v>95</v>
      </c>
      <c r="AE12" s="22"/>
      <c r="AF12" s="29" t="s">
        <v>85</v>
      </c>
      <c r="AG12" s="40"/>
      <c r="AH12" s="40" t="str">
        <f t="shared" si="1"/>
        <v>RUUD</v>
      </c>
      <c r="AI12" s="39" t="s">
        <v>82</v>
      </c>
      <c r="AJ12" s="22"/>
    </row>
    <row r="13" ht="15.75" customHeight="1">
      <c r="A13" s="32" t="s">
        <v>77</v>
      </c>
      <c r="B13" s="33" t="s">
        <v>78</v>
      </c>
      <c r="C13" s="32" t="s">
        <v>79</v>
      </c>
      <c r="D13" s="22"/>
      <c r="E13" s="22"/>
      <c r="G13" s="22"/>
      <c r="H13" s="22"/>
      <c r="I13" s="22"/>
      <c r="J13" s="22"/>
      <c r="K13" s="22"/>
      <c r="L13" s="22"/>
      <c r="M13" s="41"/>
      <c r="N13" s="41"/>
      <c r="O13" s="31"/>
      <c r="P13" s="31"/>
      <c r="Q13" s="22"/>
      <c r="R13" s="22"/>
      <c r="S13" s="22"/>
      <c r="T13" s="22"/>
      <c r="U13" s="22"/>
      <c r="V13" s="43" t="s">
        <v>96</v>
      </c>
      <c r="W13" s="22"/>
      <c r="X13" s="22"/>
      <c r="Y13" s="29" t="s">
        <v>72</v>
      </c>
      <c r="Z13" s="22"/>
      <c r="AA13" s="37">
        <v>1812.54</v>
      </c>
      <c r="AB13" s="42">
        <v>2537.55</v>
      </c>
      <c r="AC13" s="31"/>
      <c r="AD13" s="32" t="s">
        <v>97</v>
      </c>
      <c r="AE13" s="22"/>
      <c r="AF13" s="29" t="s">
        <v>85</v>
      </c>
      <c r="AG13" s="40"/>
      <c r="AH13" s="40" t="str">
        <f t="shared" si="1"/>
        <v>RUUD</v>
      </c>
      <c r="AI13" s="39" t="s">
        <v>82</v>
      </c>
      <c r="AJ13" s="22"/>
    </row>
    <row r="14" ht="15.75" customHeight="1">
      <c r="A14" s="32" t="s">
        <v>77</v>
      </c>
      <c r="B14" s="33" t="s">
        <v>78</v>
      </c>
      <c r="C14" s="32" t="s">
        <v>79</v>
      </c>
      <c r="D14" s="22"/>
      <c r="E14" s="22"/>
      <c r="G14" s="22"/>
      <c r="H14" s="22"/>
      <c r="I14" s="22"/>
      <c r="J14" s="22"/>
      <c r="K14" s="22"/>
      <c r="L14" s="22"/>
      <c r="M14" s="41"/>
      <c r="N14" s="41"/>
      <c r="O14" s="31"/>
      <c r="P14" s="31"/>
      <c r="Q14" s="22"/>
      <c r="R14" s="22"/>
      <c r="S14" s="22"/>
      <c r="T14" s="22"/>
      <c r="U14" s="22"/>
      <c r="V14" s="43" t="s">
        <v>80</v>
      </c>
      <c r="W14" s="22"/>
      <c r="X14" s="22"/>
      <c r="Y14" s="29" t="s">
        <v>72</v>
      </c>
      <c r="Z14" s="22"/>
      <c r="AA14" s="37">
        <v>2025.34</v>
      </c>
      <c r="AB14" s="42">
        <v>2835.48</v>
      </c>
      <c r="AC14" s="31"/>
      <c r="AD14" s="32" t="s">
        <v>98</v>
      </c>
      <c r="AE14" s="22"/>
      <c r="AF14" s="29" t="s">
        <v>85</v>
      </c>
      <c r="AG14" s="40"/>
      <c r="AH14" s="40" t="str">
        <f t="shared" si="1"/>
        <v>RUUD</v>
      </c>
      <c r="AI14" s="39" t="s">
        <v>82</v>
      </c>
      <c r="AJ14" s="22"/>
    </row>
    <row r="15" ht="15.75" customHeight="1">
      <c r="A15" s="32" t="s">
        <v>77</v>
      </c>
      <c r="B15" s="33" t="s">
        <v>78</v>
      </c>
      <c r="C15" s="32" t="s">
        <v>79</v>
      </c>
      <c r="D15" s="22"/>
      <c r="E15" s="22"/>
      <c r="G15" s="22"/>
      <c r="H15" s="22"/>
      <c r="I15" s="22"/>
      <c r="J15" s="22"/>
      <c r="K15" s="22"/>
      <c r="L15" s="22"/>
      <c r="M15" s="41"/>
      <c r="N15" s="41"/>
      <c r="O15" s="31"/>
      <c r="P15" s="31"/>
      <c r="Q15" s="22"/>
      <c r="R15" s="22"/>
      <c r="S15" s="22"/>
      <c r="T15" s="22"/>
      <c r="U15" s="22"/>
      <c r="V15" s="43" t="s">
        <v>83</v>
      </c>
      <c r="W15" s="22"/>
      <c r="X15" s="22"/>
      <c r="Y15" s="29" t="s">
        <v>72</v>
      </c>
      <c r="Z15" s="22"/>
      <c r="AA15" s="37">
        <v>2240.44</v>
      </c>
      <c r="AB15" s="42">
        <v>3136.61</v>
      </c>
      <c r="AC15" s="31"/>
      <c r="AD15" s="32" t="s">
        <v>99</v>
      </c>
      <c r="AE15" s="22"/>
      <c r="AF15" s="29" t="s">
        <v>85</v>
      </c>
      <c r="AG15" s="40"/>
      <c r="AH15" s="40" t="str">
        <f t="shared" si="1"/>
        <v>RUUD</v>
      </c>
      <c r="AI15" s="39" t="s">
        <v>82</v>
      </c>
      <c r="AJ15" s="22"/>
    </row>
    <row r="16" ht="15.75" customHeight="1">
      <c r="A16" s="32" t="s">
        <v>77</v>
      </c>
      <c r="B16" s="33" t="s">
        <v>78</v>
      </c>
      <c r="C16" s="32" t="s">
        <v>79</v>
      </c>
      <c r="D16" s="40"/>
      <c r="E16" s="40"/>
      <c r="G16" s="22"/>
      <c r="H16" s="22"/>
      <c r="I16" s="22"/>
      <c r="J16" s="22"/>
      <c r="K16" s="22"/>
      <c r="L16" s="22"/>
      <c r="M16" s="41"/>
      <c r="N16" s="41"/>
      <c r="O16" s="31"/>
      <c r="P16" s="31"/>
      <c r="Q16" s="22"/>
      <c r="R16" s="22"/>
      <c r="S16" s="22"/>
      <c r="T16" s="22"/>
      <c r="U16" s="22"/>
      <c r="V16" s="43" t="s">
        <v>88</v>
      </c>
      <c r="W16" s="22"/>
      <c r="X16" s="22"/>
      <c r="Y16" s="29" t="s">
        <v>72</v>
      </c>
      <c r="Z16" s="22"/>
      <c r="AA16" s="37">
        <v>2084.41</v>
      </c>
      <c r="AB16" s="42">
        <v>2918.17</v>
      </c>
      <c r="AC16" s="31"/>
      <c r="AD16" s="32" t="s">
        <v>100</v>
      </c>
      <c r="AE16" s="40"/>
      <c r="AF16" s="29" t="s">
        <v>85</v>
      </c>
      <c r="AG16" s="40"/>
      <c r="AH16" s="40" t="str">
        <f t="shared" si="1"/>
        <v>RUUD</v>
      </c>
      <c r="AI16" s="39" t="s">
        <v>82</v>
      </c>
      <c r="AJ16" s="22"/>
    </row>
    <row r="17" ht="15.75" customHeight="1">
      <c r="A17" s="32" t="s">
        <v>77</v>
      </c>
      <c r="B17" s="33" t="s">
        <v>78</v>
      </c>
      <c r="C17" s="32" t="s">
        <v>79</v>
      </c>
      <c r="D17" s="40"/>
      <c r="E17" s="40"/>
      <c r="G17" s="31"/>
      <c r="H17" s="22"/>
      <c r="I17" s="22"/>
      <c r="J17" s="22"/>
      <c r="K17" s="22"/>
      <c r="L17" s="22"/>
      <c r="M17" s="41"/>
      <c r="N17" s="41"/>
      <c r="O17" s="31"/>
      <c r="P17" s="31"/>
      <c r="Q17" s="22"/>
      <c r="R17" s="22"/>
      <c r="S17" s="22"/>
      <c r="T17" s="22"/>
      <c r="U17" s="22"/>
      <c r="V17" s="43" t="s">
        <v>86</v>
      </c>
      <c r="W17" s="22"/>
      <c r="X17" s="22"/>
      <c r="Y17" s="29" t="s">
        <v>72</v>
      </c>
      <c r="Z17" s="22"/>
      <c r="AA17" s="37">
        <v>2291.21</v>
      </c>
      <c r="AB17" s="42">
        <v>3207.7</v>
      </c>
      <c r="AC17" s="31"/>
      <c r="AD17" s="32" t="s">
        <v>101</v>
      </c>
      <c r="AE17" s="22"/>
      <c r="AF17" s="29" t="s">
        <v>85</v>
      </c>
      <c r="AG17" s="40"/>
      <c r="AH17" s="40" t="str">
        <f t="shared" si="1"/>
        <v>RUUD</v>
      </c>
      <c r="AI17" s="39" t="s">
        <v>82</v>
      </c>
      <c r="AJ17" s="22"/>
    </row>
    <row r="18" ht="15.75" customHeight="1">
      <c r="A18" s="32" t="s">
        <v>77</v>
      </c>
      <c r="B18" s="33" t="s">
        <v>78</v>
      </c>
      <c r="C18" s="32" t="s">
        <v>79</v>
      </c>
      <c r="D18" s="40"/>
      <c r="E18" s="40"/>
      <c r="G18" s="31"/>
      <c r="H18" s="22"/>
      <c r="I18" s="22"/>
      <c r="J18" s="22"/>
      <c r="K18" s="22"/>
      <c r="L18" s="22"/>
      <c r="M18" s="41"/>
      <c r="N18" s="41"/>
      <c r="O18" s="31"/>
      <c r="P18" s="31"/>
      <c r="Q18" s="22"/>
      <c r="R18" s="22"/>
      <c r="S18" s="22"/>
      <c r="T18" s="22"/>
      <c r="U18" s="22"/>
      <c r="V18" s="43" t="s">
        <v>86</v>
      </c>
      <c r="W18" s="22"/>
      <c r="X18" s="22"/>
      <c r="Y18" s="29" t="s">
        <v>72</v>
      </c>
      <c r="Z18" s="22"/>
      <c r="AA18" s="37">
        <v>2519.39</v>
      </c>
      <c r="AB18" s="42">
        <v>3527.14</v>
      </c>
      <c r="AC18" s="31"/>
      <c r="AD18" s="32" t="s">
        <v>102</v>
      </c>
      <c r="AE18" s="22"/>
      <c r="AF18" s="29" t="s">
        <v>85</v>
      </c>
      <c r="AG18" s="40"/>
      <c r="AH18" s="40" t="str">
        <f t="shared" si="1"/>
        <v>RUUD</v>
      </c>
      <c r="AI18" s="39" t="s">
        <v>82</v>
      </c>
      <c r="AJ18" s="22"/>
    </row>
    <row r="19" ht="15.75" customHeight="1">
      <c r="A19" s="32" t="s">
        <v>77</v>
      </c>
      <c r="B19" s="33" t="s">
        <v>78</v>
      </c>
      <c r="C19" s="32" t="s">
        <v>79</v>
      </c>
      <c r="D19" s="40"/>
      <c r="E19" s="40"/>
      <c r="G19" s="22"/>
      <c r="H19" s="22"/>
      <c r="I19" s="22"/>
      <c r="J19" s="22"/>
      <c r="K19" s="22"/>
      <c r="L19" s="22"/>
      <c r="M19" s="41"/>
      <c r="N19" s="41"/>
      <c r="O19" s="31"/>
      <c r="P19" s="31"/>
      <c r="Q19" s="22"/>
      <c r="R19" s="22"/>
      <c r="S19" s="22"/>
      <c r="T19" s="22"/>
      <c r="U19" s="22"/>
      <c r="V19" s="43" t="s">
        <v>90</v>
      </c>
      <c r="W19" s="22"/>
      <c r="X19" s="22"/>
      <c r="Y19" s="29" t="s">
        <v>72</v>
      </c>
      <c r="Z19" s="22"/>
      <c r="AA19" s="37">
        <v>2598.3</v>
      </c>
      <c r="AB19" s="42">
        <v>3637.63</v>
      </c>
      <c r="AC19" s="31"/>
      <c r="AD19" s="32" t="s">
        <v>103</v>
      </c>
      <c r="AE19" s="22"/>
      <c r="AF19" s="29" t="s">
        <v>85</v>
      </c>
      <c r="AG19" s="40"/>
      <c r="AH19" s="40" t="str">
        <f t="shared" si="1"/>
        <v>RUUD</v>
      </c>
      <c r="AI19" s="39" t="s">
        <v>82</v>
      </c>
      <c r="AJ19" s="22"/>
    </row>
    <row r="20" ht="15.75" customHeight="1">
      <c r="A20" s="32" t="s">
        <v>77</v>
      </c>
      <c r="B20" s="33" t="s">
        <v>78</v>
      </c>
      <c r="C20" s="32" t="s">
        <v>79</v>
      </c>
      <c r="D20" s="40"/>
      <c r="E20" s="40"/>
      <c r="G20" s="31"/>
      <c r="H20" s="22"/>
      <c r="I20" s="22"/>
      <c r="J20" s="22"/>
      <c r="K20" s="22"/>
      <c r="L20" s="22"/>
      <c r="M20" s="41"/>
      <c r="N20" s="41"/>
      <c r="O20" s="31"/>
      <c r="P20" s="31"/>
      <c r="Q20" s="22"/>
      <c r="R20" s="22"/>
      <c r="S20" s="22"/>
      <c r="T20" s="22"/>
      <c r="U20" s="22"/>
      <c r="V20" s="43" t="s">
        <v>90</v>
      </c>
      <c r="W20" s="22"/>
      <c r="X20" s="22"/>
      <c r="Y20" s="29" t="s">
        <v>72</v>
      </c>
      <c r="Z20" s="22"/>
      <c r="AA20" s="37">
        <v>3061.31</v>
      </c>
      <c r="AB20" s="42">
        <v>4285.84</v>
      </c>
      <c r="AC20" s="31"/>
      <c r="AD20" s="32" t="s">
        <v>104</v>
      </c>
      <c r="AE20" s="22"/>
      <c r="AF20" s="29" t="s">
        <v>85</v>
      </c>
      <c r="AG20" s="40"/>
      <c r="AH20" s="40" t="str">
        <f t="shared" si="1"/>
        <v>RUUD</v>
      </c>
      <c r="AI20" s="39" t="s">
        <v>82</v>
      </c>
      <c r="AJ20" s="22"/>
    </row>
    <row r="21" ht="15.75" customHeight="1">
      <c r="A21" s="32" t="s">
        <v>77</v>
      </c>
      <c r="B21" s="33" t="s">
        <v>78</v>
      </c>
      <c r="C21" s="32" t="s">
        <v>79</v>
      </c>
      <c r="D21" s="40"/>
      <c r="E21" s="40"/>
      <c r="G21" s="31"/>
      <c r="H21" s="22"/>
      <c r="I21" s="22"/>
      <c r="J21" s="22"/>
      <c r="K21" s="22"/>
      <c r="L21" s="22"/>
      <c r="M21" s="41"/>
      <c r="N21" s="41"/>
      <c r="O21" s="31"/>
      <c r="P21" s="31"/>
      <c r="Q21" s="22"/>
      <c r="R21" s="22"/>
      <c r="S21" s="22"/>
      <c r="T21" s="22"/>
      <c r="U21" s="22"/>
      <c r="V21" s="43" t="s">
        <v>94</v>
      </c>
      <c r="W21" s="22"/>
      <c r="X21" s="22"/>
      <c r="Y21" s="29" t="s">
        <v>72</v>
      </c>
      <c r="Z21" s="22"/>
      <c r="AA21" s="37">
        <v>3292.9</v>
      </c>
      <c r="AB21" s="42">
        <v>4610.06</v>
      </c>
      <c r="AC21" s="31"/>
      <c r="AD21" s="32" t="s">
        <v>105</v>
      </c>
      <c r="AE21" s="22"/>
      <c r="AF21" s="29" t="s">
        <v>85</v>
      </c>
      <c r="AG21" s="40"/>
      <c r="AH21" s="40" t="str">
        <f t="shared" si="1"/>
        <v>RUUD</v>
      </c>
      <c r="AI21" s="39" t="s">
        <v>82</v>
      </c>
      <c r="AJ21" s="22"/>
    </row>
    <row r="22" ht="15.75" customHeight="1">
      <c r="A22" s="32" t="s">
        <v>77</v>
      </c>
      <c r="B22" s="33" t="s">
        <v>78</v>
      </c>
      <c r="C22" s="32" t="s">
        <v>79</v>
      </c>
      <c r="D22" s="40"/>
      <c r="E22" s="40"/>
      <c r="G22" s="31"/>
      <c r="H22" s="22"/>
      <c r="I22" s="22"/>
      <c r="J22" s="22"/>
      <c r="K22" s="22"/>
      <c r="L22" s="22"/>
      <c r="M22" s="41"/>
      <c r="N22" s="41"/>
      <c r="O22" s="31"/>
      <c r="P22" s="31"/>
      <c r="Q22" s="22"/>
      <c r="R22" s="22"/>
      <c r="S22" s="22"/>
      <c r="T22" s="22"/>
      <c r="U22" s="22"/>
      <c r="V22" s="43" t="s">
        <v>96</v>
      </c>
      <c r="W22" s="22"/>
      <c r="X22" s="22"/>
      <c r="Y22" s="29" t="s">
        <v>72</v>
      </c>
      <c r="Z22" s="22"/>
      <c r="AA22" s="37">
        <v>3015.06</v>
      </c>
      <c r="AB22" s="42">
        <v>4221.09</v>
      </c>
      <c r="AC22" s="31"/>
      <c r="AD22" s="32" t="s">
        <v>106</v>
      </c>
      <c r="AE22" s="22"/>
      <c r="AF22" s="29" t="s">
        <v>85</v>
      </c>
      <c r="AG22" s="40"/>
      <c r="AH22" s="40" t="str">
        <f t="shared" si="1"/>
        <v>RUUD</v>
      </c>
      <c r="AI22" s="39" t="s">
        <v>82</v>
      </c>
      <c r="AJ22" s="22"/>
    </row>
    <row r="23" ht="15.75" customHeight="1">
      <c r="A23" s="32" t="s">
        <v>77</v>
      </c>
      <c r="B23" s="33" t="s">
        <v>78</v>
      </c>
      <c r="C23" s="32" t="s">
        <v>79</v>
      </c>
      <c r="D23" s="40"/>
      <c r="E23" s="40"/>
      <c r="G23" s="31"/>
      <c r="H23" s="22"/>
      <c r="I23" s="22"/>
      <c r="J23" s="22"/>
      <c r="K23" s="22"/>
      <c r="L23" s="22"/>
      <c r="M23" s="41"/>
      <c r="N23" s="41"/>
      <c r="O23" s="31"/>
      <c r="P23" s="31"/>
      <c r="Q23" s="22"/>
      <c r="R23" s="22"/>
      <c r="S23" s="22"/>
      <c r="T23" s="22"/>
      <c r="U23" s="22"/>
      <c r="V23" s="43" t="s">
        <v>80</v>
      </c>
      <c r="W23" s="22"/>
      <c r="X23" s="22"/>
      <c r="Y23" s="29" t="s">
        <v>72</v>
      </c>
      <c r="Z23" s="22"/>
      <c r="AA23" s="37">
        <v>2183.0</v>
      </c>
      <c r="AB23" s="42">
        <v>3056.19</v>
      </c>
      <c r="AC23" s="31"/>
      <c r="AD23" s="32" t="s">
        <v>107</v>
      </c>
      <c r="AE23" s="22"/>
      <c r="AF23" s="29" t="s">
        <v>85</v>
      </c>
      <c r="AG23" s="40"/>
      <c r="AH23" s="40" t="str">
        <f t="shared" si="1"/>
        <v>RUUD</v>
      </c>
      <c r="AI23" s="39" t="s">
        <v>82</v>
      </c>
      <c r="AJ23" s="22"/>
    </row>
    <row r="24" ht="15.75" customHeight="1">
      <c r="A24" s="32" t="s">
        <v>77</v>
      </c>
      <c r="B24" s="33" t="s">
        <v>78</v>
      </c>
      <c r="C24" s="32" t="s">
        <v>79</v>
      </c>
      <c r="D24" s="40"/>
      <c r="E24" s="40"/>
      <c r="G24" s="31"/>
      <c r="H24" s="22"/>
      <c r="I24" s="22"/>
      <c r="J24" s="22"/>
      <c r="K24" s="22"/>
      <c r="L24" s="22"/>
      <c r="M24" s="41"/>
      <c r="N24" s="41"/>
      <c r="O24" s="31"/>
      <c r="P24" s="31"/>
      <c r="Q24" s="22"/>
      <c r="R24" s="22"/>
      <c r="S24" s="22"/>
      <c r="T24" s="22"/>
      <c r="U24" s="22"/>
      <c r="V24" s="43" t="s">
        <v>108</v>
      </c>
      <c r="W24" s="22"/>
      <c r="X24" s="22"/>
      <c r="Y24" s="29" t="s">
        <v>72</v>
      </c>
      <c r="Z24" s="22"/>
      <c r="AA24" s="37">
        <v>2544.0</v>
      </c>
      <c r="AB24" s="42">
        <v>3561.6</v>
      </c>
      <c r="AC24" s="31"/>
      <c r="AD24" s="32" t="s">
        <v>109</v>
      </c>
      <c r="AE24" s="22"/>
      <c r="AF24" s="29" t="s">
        <v>85</v>
      </c>
      <c r="AG24" s="40"/>
      <c r="AH24" s="40" t="str">
        <f t="shared" si="1"/>
        <v>RUUD</v>
      </c>
      <c r="AI24" s="39" t="s">
        <v>82</v>
      </c>
      <c r="AJ24" s="22"/>
    </row>
    <row r="25" ht="15.75" customHeight="1">
      <c r="A25" s="32" t="s">
        <v>77</v>
      </c>
      <c r="B25" s="33" t="s">
        <v>78</v>
      </c>
      <c r="C25" s="32" t="s">
        <v>79</v>
      </c>
      <c r="D25" s="40"/>
      <c r="E25" s="40"/>
      <c r="G25" s="31"/>
      <c r="H25" s="22"/>
      <c r="I25" s="22"/>
      <c r="J25" s="22"/>
      <c r="K25" s="22"/>
      <c r="L25" s="22"/>
      <c r="M25" s="41"/>
      <c r="N25" s="41"/>
      <c r="O25" s="31"/>
      <c r="P25" s="31"/>
      <c r="Q25" s="22"/>
      <c r="R25" s="22"/>
      <c r="S25" s="22"/>
      <c r="T25" s="22"/>
      <c r="U25" s="22"/>
      <c r="V25" s="43" t="s">
        <v>88</v>
      </c>
      <c r="W25" s="22"/>
      <c r="X25" s="22"/>
      <c r="Y25" s="29" t="s">
        <v>72</v>
      </c>
      <c r="Z25" s="22"/>
      <c r="AA25" s="37">
        <v>3206.82</v>
      </c>
      <c r="AB25" s="42">
        <v>4489.55</v>
      </c>
      <c r="AC25" s="31"/>
      <c r="AD25" s="32" t="s">
        <v>110</v>
      </c>
      <c r="AE25" s="22"/>
      <c r="AF25" s="29" t="s">
        <v>85</v>
      </c>
      <c r="AG25" s="40"/>
      <c r="AH25" s="40" t="str">
        <f t="shared" si="1"/>
        <v>RUUD</v>
      </c>
      <c r="AI25" s="39" t="s">
        <v>82</v>
      </c>
      <c r="AJ25" s="22"/>
    </row>
    <row r="26" ht="15.75" customHeight="1">
      <c r="A26" s="32" t="s">
        <v>77</v>
      </c>
      <c r="B26" s="33" t="s">
        <v>78</v>
      </c>
      <c r="C26" s="32" t="s">
        <v>79</v>
      </c>
      <c r="D26" s="40"/>
      <c r="E26" s="40"/>
      <c r="G26" s="31"/>
      <c r="H26" s="22"/>
      <c r="I26" s="22"/>
      <c r="J26" s="22"/>
      <c r="K26" s="22"/>
      <c r="L26" s="22"/>
      <c r="M26" s="41"/>
      <c r="N26" s="41"/>
      <c r="O26" s="31"/>
      <c r="P26" s="31"/>
      <c r="Q26" s="22"/>
      <c r="R26" s="22"/>
      <c r="S26" s="22"/>
      <c r="T26" s="22"/>
      <c r="U26" s="22"/>
      <c r="V26" s="43" t="s">
        <v>90</v>
      </c>
      <c r="W26" s="22"/>
      <c r="X26" s="22"/>
      <c r="Y26" s="29" t="s">
        <v>72</v>
      </c>
      <c r="Z26" s="22"/>
      <c r="AA26" s="37">
        <v>3369.61</v>
      </c>
      <c r="AB26" s="42">
        <v>4717.46</v>
      </c>
      <c r="AC26" s="31"/>
      <c r="AD26" s="32" t="s">
        <v>111</v>
      </c>
      <c r="AE26" s="22"/>
      <c r="AF26" s="29" t="s">
        <v>85</v>
      </c>
      <c r="AG26" s="40"/>
      <c r="AH26" s="40" t="str">
        <f t="shared" si="1"/>
        <v>RUUD</v>
      </c>
      <c r="AI26" s="39" t="s">
        <v>82</v>
      </c>
      <c r="AJ26" s="22"/>
    </row>
    <row r="27" ht="15.75" customHeight="1">
      <c r="A27" s="32" t="s">
        <v>77</v>
      </c>
      <c r="B27" s="33" t="s">
        <v>78</v>
      </c>
      <c r="C27" s="32" t="s">
        <v>79</v>
      </c>
      <c r="D27" s="22"/>
      <c r="E27" s="22"/>
      <c r="G27" s="22"/>
      <c r="H27" s="22"/>
      <c r="I27" s="22"/>
      <c r="J27" s="22"/>
      <c r="K27" s="22"/>
      <c r="L27" s="22"/>
      <c r="M27" s="41"/>
      <c r="N27" s="41"/>
      <c r="O27" s="31"/>
      <c r="P27" s="31"/>
      <c r="Q27" s="22"/>
      <c r="R27" s="22"/>
      <c r="S27" s="22"/>
      <c r="T27" s="22"/>
      <c r="U27" s="22"/>
      <c r="V27" s="43" t="s">
        <v>94</v>
      </c>
      <c r="W27" s="22"/>
      <c r="X27" s="22"/>
      <c r="Y27" s="29" t="s">
        <v>72</v>
      </c>
      <c r="Z27" s="22"/>
      <c r="AA27" s="37">
        <v>3142.67</v>
      </c>
      <c r="AB27" s="42">
        <v>4399.73</v>
      </c>
      <c r="AC27" s="31"/>
      <c r="AD27" s="32" t="s">
        <v>112</v>
      </c>
      <c r="AE27" s="22"/>
      <c r="AF27" s="29" t="s">
        <v>85</v>
      </c>
      <c r="AG27" s="40"/>
      <c r="AH27" s="40" t="str">
        <f t="shared" si="1"/>
        <v>RUUD</v>
      </c>
      <c r="AI27" s="39" t="s">
        <v>82</v>
      </c>
      <c r="AJ27" s="22"/>
    </row>
    <row r="28" ht="15.75" customHeight="1">
      <c r="A28" s="32" t="s">
        <v>77</v>
      </c>
      <c r="B28" s="33" t="s">
        <v>78</v>
      </c>
      <c r="C28" s="32" t="s">
        <v>79</v>
      </c>
      <c r="D28" s="22"/>
      <c r="E28" s="22"/>
      <c r="G28" s="31"/>
      <c r="H28" s="22"/>
      <c r="I28" s="22"/>
      <c r="J28" s="22"/>
      <c r="K28" s="22"/>
      <c r="L28" s="22"/>
      <c r="M28" s="41"/>
      <c r="N28" s="41"/>
      <c r="O28" s="31"/>
      <c r="P28" s="31"/>
      <c r="Q28" s="22"/>
      <c r="R28" s="22"/>
      <c r="S28" s="22"/>
      <c r="T28" s="22"/>
      <c r="U28" s="22"/>
      <c r="V28" s="43" t="s">
        <v>96</v>
      </c>
      <c r="W28" s="22"/>
      <c r="X28" s="22"/>
      <c r="Y28" s="29" t="s">
        <v>72</v>
      </c>
      <c r="Z28" s="22"/>
      <c r="AA28" s="37">
        <v>3333.37</v>
      </c>
      <c r="AB28" s="42">
        <v>4666.72</v>
      </c>
      <c r="AC28" s="31"/>
      <c r="AD28" s="32" t="s">
        <v>113</v>
      </c>
      <c r="AE28" s="22"/>
      <c r="AF28" s="29" t="s">
        <v>85</v>
      </c>
      <c r="AG28" s="40"/>
      <c r="AH28" s="40" t="str">
        <f t="shared" si="1"/>
        <v>RUUD</v>
      </c>
      <c r="AI28" s="39" t="s">
        <v>82</v>
      </c>
      <c r="AJ28" s="22"/>
    </row>
    <row r="29" ht="15.75" customHeight="1">
      <c r="A29" s="32" t="s">
        <v>77</v>
      </c>
      <c r="B29" s="33" t="s">
        <v>78</v>
      </c>
      <c r="C29" s="32" t="s">
        <v>79</v>
      </c>
      <c r="D29" s="22"/>
      <c r="E29" s="22"/>
      <c r="G29" s="31"/>
      <c r="H29" s="22"/>
      <c r="I29" s="22"/>
      <c r="J29" s="22"/>
      <c r="K29" s="22"/>
      <c r="L29" s="22"/>
      <c r="M29" s="41"/>
      <c r="N29" s="41"/>
      <c r="O29" s="31"/>
      <c r="P29" s="31"/>
      <c r="Q29" s="22"/>
      <c r="R29" s="22"/>
      <c r="S29" s="22"/>
      <c r="T29" s="22"/>
      <c r="U29" s="22"/>
      <c r="V29" s="43" t="s">
        <v>114</v>
      </c>
      <c r="W29" s="22"/>
      <c r="X29" s="22"/>
      <c r="Y29" s="29" t="s">
        <v>72</v>
      </c>
      <c r="Z29" s="22"/>
      <c r="AA29" s="37">
        <v>136.37</v>
      </c>
      <c r="AB29" s="42">
        <v>190.92</v>
      </c>
      <c r="AC29" s="31"/>
      <c r="AD29" s="32" t="s">
        <v>115</v>
      </c>
      <c r="AE29" s="22"/>
      <c r="AF29" s="22"/>
      <c r="AG29" s="40"/>
      <c r="AH29" s="40" t="str">
        <f t="shared" si="1"/>
        <v>RUUD</v>
      </c>
      <c r="AI29" s="39" t="s">
        <v>82</v>
      </c>
      <c r="AJ29" s="22"/>
    </row>
    <row r="30" ht="15.75" customHeight="1">
      <c r="A30" s="32" t="s">
        <v>77</v>
      </c>
      <c r="B30" s="33" t="s">
        <v>78</v>
      </c>
      <c r="C30" s="32" t="s">
        <v>79</v>
      </c>
      <c r="D30" s="22"/>
      <c r="E30" s="22"/>
      <c r="G30" s="31"/>
      <c r="H30" s="22"/>
      <c r="I30" s="22"/>
      <c r="J30" s="22"/>
      <c r="K30" s="22"/>
      <c r="L30" s="22"/>
      <c r="M30" s="41"/>
      <c r="N30" s="41"/>
      <c r="O30" s="31"/>
      <c r="P30" s="31"/>
      <c r="Q30" s="22"/>
      <c r="R30" s="22"/>
      <c r="S30" s="22"/>
      <c r="T30" s="22"/>
      <c r="U30" s="22"/>
      <c r="V30" s="43" t="s">
        <v>116</v>
      </c>
      <c r="W30" s="22"/>
      <c r="X30" s="22"/>
      <c r="Y30" s="29" t="s">
        <v>72</v>
      </c>
      <c r="Z30" s="22"/>
      <c r="AA30" s="37">
        <v>173.07</v>
      </c>
      <c r="AB30" s="42">
        <v>242.29</v>
      </c>
      <c r="AC30" s="31"/>
      <c r="AD30" s="32" t="s">
        <v>117</v>
      </c>
      <c r="AE30" s="22"/>
      <c r="AF30" s="22"/>
      <c r="AG30" s="40"/>
      <c r="AH30" s="40" t="str">
        <f t="shared" si="1"/>
        <v>RUUD</v>
      </c>
      <c r="AI30" s="39" t="s">
        <v>82</v>
      </c>
      <c r="AJ30" s="22"/>
    </row>
    <row r="31" ht="15.75" customHeight="1">
      <c r="A31" s="32" t="s">
        <v>77</v>
      </c>
      <c r="B31" s="33" t="s">
        <v>78</v>
      </c>
      <c r="C31" s="32" t="s">
        <v>79</v>
      </c>
      <c r="D31" s="22"/>
      <c r="E31" s="22"/>
      <c r="G31" s="31"/>
      <c r="H31" s="22"/>
      <c r="I31" s="22"/>
      <c r="J31" s="22"/>
      <c r="K31" s="22"/>
      <c r="L31" s="22"/>
      <c r="M31" s="41"/>
      <c r="N31" s="41"/>
      <c r="O31" s="31"/>
      <c r="P31" s="31"/>
      <c r="Q31" s="22"/>
      <c r="R31" s="22"/>
      <c r="S31" s="22"/>
      <c r="T31" s="22"/>
      <c r="U31" s="22"/>
      <c r="V31" s="43" t="s">
        <v>118</v>
      </c>
      <c r="W31" s="22"/>
      <c r="X31" s="22"/>
      <c r="Y31" s="29" t="s">
        <v>72</v>
      </c>
      <c r="Z31" s="22"/>
      <c r="AA31" s="37">
        <v>172.31</v>
      </c>
      <c r="AB31" s="42">
        <v>241.24</v>
      </c>
      <c r="AC31" s="31"/>
      <c r="AD31" s="32" t="s">
        <v>119</v>
      </c>
      <c r="AE31" s="22"/>
      <c r="AF31" s="22"/>
      <c r="AG31" s="40"/>
      <c r="AH31" s="40" t="str">
        <f t="shared" si="1"/>
        <v>RUUD</v>
      </c>
      <c r="AI31" s="39" t="s">
        <v>82</v>
      </c>
      <c r="AJ31" s="22"/>
    </row>
    <row r="32" ht="15.75" customHeight="1">
      <c r="A32" s="32" t="s">
        <v>77</v>
      </c>
      <c r="B32" s="33" t="s">
        <v>78</v>
      </c>
      <c r="C32" s="32" t="s">
        <v>79</v>
      </c>
      <c r="D32" s="22"/>
      <c r="E32" s="22"/>
      <c r="G32" s="31"/>
      <c r="H32" s="22"/>
      <c r="I32" s="22"/>
      <c r="J32" s="22"/>
      <c r="K32" s="22"/>
      <c r="L32" s="22"/>
      <c r="M32" s="41"/>
      <c r="N32" s="41"/>
      <c r="O32" s="31"/>
      <c r="P32" s="31"/>
      <c r="Q32" s="22"/>
      <c r="R32" s="22"/>
      <c r="S32" s="22"/>
      <c r="T32" s="22"/>
      <c r="U32" s="22"/>
      <c r="V32" s="43" t="s">
        <v>120</v>
      </c>
      <c r="W32" s="22"/>
      <c r="X32" s="22"/>
      <c r="Y32" s="29" t="s">
        <v>72</v>
      </c>
      <c r="Z32" s="22"/>
      <c r="AA32" s="37">
        <v>275.9</v>
      </c>
      <c r="AB32" s="42">
        <v>386.26</v>
      </c>
      <c r="AC32" s="31"/>
      <c r="AD32" s="32" t="s">
        <v>121</v>
      </c>
      <c r="AE32" s="22"/>
      <c r="AF32" s="22"/>
      <c r="AG32" s="40"/>
      <c r="AH32" s="40" t="str">
        <f t="shared" si="1"/>
        <v>RUUD</v>
      </c>
      <c r="AI32" s="39" t="s">
        <v>82</v>
      </c>
      <c r="AJ32" s="22"/>
    </row>
    <row r="33" ht="15.75" customHeight="1">
      <c r="A33" s="32" t="s">
        <v>77</v>
      </c>
      <c r="B33" s="33" t="s">
        <v>78</v>
      </c>
      <c r="C33" s="32" t="s">
        <v>79</v>
      </c>
      <c r="D33" s="22"/>
      <c r="E33" s="22"/>
      <c r="G33" s="31"/>
      <c r="H33" s="22"/>
      <c r="I33" s="22"/>
      <c r="J33" s="22"/>
      <c r="K33" s="22"/>
      <c r="L33" s="22"/>
      <c r="M33" s="41"/>
      <c r="N33" s="41"/>
      <c r="O33" s="31"/>
      <c r="P33" s="31"/>
      <c r="Q33" s="22"/>
      <c r="R33" s="22"/>
      <c r="S33" s="22"/>
      <c r="T33" s="22"/>
      <c r="U33" s="22"/>
      <c r="V33" s="43" t="s">
        <v>122</v>
      </c>
      <c r="W33" s="22"/>
      <c r="X33" s="22"/>
      <c r="Y33" s="29" t="s">
        <v>72</v>
      </c>
      <c r="Z33" s="22"/>
      <c r="AA33" s="37">
        <v>260.06</v>
      </c>
      <c r="AB33" s="42">
        <v>364.08</v>
      </c>
      <c r="AC33" s="31"/>
      <c r="AD33" s="32" t="s">
        <v>123</v>
      </c>
      <c r="AE33" s="22"/>
      <c r="AF33" s="22"/>
      <c r="AG33" s="40"/>
      <c r="AH33" s="40" t="str">
        <f t="shared" si="1"/>
        <v>RUUD</v>
      </c>
      <c r="AI33" s="39" t="s">
        <v>82</v>
      </c>
      <c r="AJ33" s="22"/>
    </row>
    <row r="34" ht="15.75" customHeight="1">
      <c r="A34" s="32" t="s">
        <v>77</v>
      </c>
      <c r="B34" s="33" t="s">
        <v>78</v>
      </c>
      <c r="C34" s="32" t="s">
        <v>79</v>
      </c>
      <c r="D34" s="22"/>
      <c r="E34" s="22"/>
      <c r="G34" s="31"/>
      <c r="H34" s="22"/>
      <c r="I34" s="22"/>
      <c r="J34" s="22"/>
      <c r="K34" s="22"/>
      <c r="L34" s="22"/>
      <c r="M34" s="41"/>
      <c r="N34" s="41"/>
      <c r="O34" s="31"/>
      <c r="P34" s="31"/>
      <c r="Q34" s="22"/>
      <c r="R34" s="22"/>
      <c r="S34" s="22"/>
      <c r="T34" s="22"/>
      <c r="U34" s="22"/>
      <c r="V34" s="43" t="s">
        <v>124</v>
      </c>
      <c r="W34" s="22"/>
      <c r="X34" s="22"/>
      <c r="Y34" s="29" t="s">
        <v>72</v>
      </c>
      <c r="Z34" s="22"/>
      <c r="AA34" s="37">
        <v>271.81</v>
      </c>
      <c r="AB34" s="42">
        <v>380.53</v>
      </c>
      <c r="AC34" s="31"/>
      <c r="AD34" s="32" t="s">
        <v>125</v>
      </c>
      <c r="AE34" s="22"/>
      <c r="AF34" s="22"/>
      <c r="AG34" s="40"/>
      <c r="AH34" s="40" t="str">
        <f t="shared" si="1"/>
        <v>RUUD</v>
      </c>
      <c r="AI34" s="39" t="s">
        <v>82</v>
      </c>
      <c r="AJ34" s="22"/>
    </row>
    <row r="35" ht="15.75" customHeight="1">
      <c r="A35" s="32" t="s">
        <v>77</v>
      </c>
      <c r="B35" s="33" t="s">
        <v>78</v>
      </c>
      <c r="C35" s="32" t="s">
        <v>79</v>
      </c>
      <c r="D35" s="22"/>
      <c r="E35" s="22"/>
      <c r="G35" s="31"/>
      <c r="H35" s="22"/>
      <c r="I35" s="22"/>
      <c r="J35" s="22"/>
      <c r="K35" s="22"/>
      <c r="L35" s="22"/>
      <c r="M35" s="41"/>
      <c r="N35" s="41"/>
      <c r="O35" s="31"/>
      <c r="P35" s="31"/>
      <c r="Q35" s="22"/>
      <c r="R35" s="22"/>
      <c r="S35" s="22"/>
      <c r="T35" s="22"/>
      <c r="U35" s="22"/>
      <c r="V35" s="43" t="s">
        <v>126</v>
      </c>
      <c r="W35" s="22"/>
      <c r="X35" s="22"/>
      <c r="Y35" s="29" t="s">
        <v>72</v>
      </c>
      <c r="Z35" s="22"/>
      <c r="AA35" s="37">
        <v>310.17</v>
      </c>
      <c r="AB35" s="42">
        <v>434.23</v>
      </c>
      <c r="AC35" s="31"/>
      <c r="AD35" s="32" t="s">
        <v>127</v>
      </c>
      <c r="AE35" s="22"/>
      <c r="AF35" s="22"/>
      <c r="AG35" s="40"/>
      <c r="AH35" s="40" t="str">
        <f t="shared" si="1"/>
        <v>RUUD</v>
      </c>
      <c r="AI35" s="39" t="s">
        <v>82</v>
      </c>
      <c r="AJ35" s="22"/>
    </row>
    <row r="36" ht="15.75" customHeight="1">
      <c r="A36" s="32" t="s">
        <v>77</v>
      </c>
      <c r="B36" s="33" t="s">
        <v>78</v>
      </c>
      <c r="C36" s="32" t="s">
        <v>79</v>
      </c>
      <c r="D36" s="22"/>
      <c r="E36" s="22"/>
      <c r="G36" s="31"/>
      <c r="H36" s="22"/>
      <c r="I36" s="22"/>
      <c r="J36" s="22"/>
      <c r="K36" s="22"/>
      <c r="L36" s="22"/>
      <c r="M36" s="41"/>
      <c r="N36" s="41"/>
      <c r="O36" s="31"/>
      <c r="P36" s="31"/>
      <c r="Q36" s="22"/>
      <c r="R36" s="22"/>
      <c r="S36" s="22"/>
      <c r="T36" s="22"/>
      <c r="U36" s="22"/>
      <c r="V36" s="43" t="s">
        <v>128</v>
      </c>
      <c r="W36" s="22"/>
      <c r="X36" s="22"/>
      <c r="Y36" s="29" t="s">
        <v>72</v>
      </c>
      <c r="Z36" s="22"/>
      <c r="AA36" s="37">
        <v>376.15</v>
      </c>
      <c r="AB36" s="42">
        <v>526.61</v>
      </c>
      <c r="AC36" s="31"/>
      <c r="AD36" s="32" t="s">
        <v>129</v>
      </c>
      <c r="AE36" s="22"/>
      <c r="AF36" s="22"/>
      <c r="AG36" s="40"/>
      <c r="AH36" s="40" t="str">
        <f t="shared" si="1"/>
        <v>RUUD</v>
      </c>
      <c r="AI36" s="39" t="s">
        <v>82</v>
      </c>
      <c r="AJ36" s="22"/>
    </row>
    <row r="37" ht="15.75" customHeight="1">
      <c r="A37" s="32" t="s">
        <v>77</v>
      </c>
      <c r="B37" s="33" t="s">
        <v>78</v>
      </c>
      <c r="C37" s="32" t="s">
        <v>79</v>
      </c>
      <c r="D37" s="22"/>
      <c r="E37" s="22"/>
      <c r="G37" s="31"/>
      <c r="H37" s="22"/>
      <c r="I37" s="22"/>
      <c r="J37" s="22"/>
      <c r="K37" s="22"/>
      <c r="L37" s="22"/>
      <c r="M37" s="41"/>
      <c r="N37" s="41"/>
      <c r="O37" s="31"/>
      <c r="P37" s="31"/>
      <c r="Q37" s="22"/>
      <c r="R37" s="22"/>
      <c r="S37" s="22"/>
      <c r="T37" s="22"/>
      <c r="U37" s="22"/>
      <c r="V37" s="43" t="s">
        <v>130</v>
      </c>
      <c r="W37" s="22"/>
      <c r="X37" s="22"/>
      <c r="Y37" s="29" t="s">
        <v>72</v>
      </c>
      <c r="Z37" s="22"/>
      <c r="AA37" s="37">
        <v>16.54</v>
      </c>
      <c r="AB37" s="42">
        <v>23.15</v>
      </c>
      <c r="AC37" s="31"/>
      <c r="AD37" s="32" t="s">
        <v>131</v>
      </c>
      <c r="AE37" s="22"/>
      <c r="AF37" s="22"/>
      <c r="AG37" s="40"/>
      <c r="AH37" s="40" t="str">
        <f t="shared" si="1"/>
        <v>RUUD</v>
      </c>
      <c r="AI37" s="39" t="s">
        <v>82</v>
      </c>
      <c r="AJ37" s="22"/>
    </row>
    <row r="38" ht="15.75" customHeight="1">
      <c r="A38" s="32" t="s">
        <v>77</v>
      </c>
      <c r="B38" s="33" t="s">
        <v>78</v>
      </c>
      <c r="C38" s="32" t="s">
        <v>79</v>
      </c>
      <c r="D38" s="22"/>
      <c r="E38" s="22"/>
      <c r="G38" s="31"/>
      <c r="H38" s="22"/>
      <c r="I38" s="22"/>
      <c r="J38" s="22"/>
      <c r="K38" s="22"/>
      <c r="L38" s="22"/>
      <c r="M38" s="41"/>
      <c r="N38" s="41"/>
      <c r="O38" s="31"/>
      <c r="P38" s="31"/>
      <c r="Q38" s="22"/>
      <c r="R38" s="22"/>
      <c r="S38" s="22"/>
      <c r="T38" s="22"/>
      <c r="U38" s="22"/>
      <c r="V38" s="43" t="s">
        <v>132</v>
      </c>
      <c r="W38" s="22"/>
      <c r="X38" s="22"/>
      <c r="Y38" s="29" t="s">
        <v>72</v>
      </c>
      <c r="Z38" s="22"/>
      <c r="AA38" s="37">
        <v>25.76</v>
      </c>
      <c r="AB38" s="42">
        <v>36.06</v>
      </c>
      <c r="AC38" s="31"/>
      <c r="AD38" s="32" t="s">
        <v>133</v>
      </c>
      <c r="AE38" s="22"/>
      <c r="AF38" s="22"/>
      <c r="AG38" s="40"/>
      <c r="AH38" s="40" t="str">
        <f t="shared" si="1"/>
        <v>RUUD</v>
      </c>
      <c r="AI38" s="39" t="s">
        <v>82</v>
      </c>
      <c r="AJ38" s="22"/>
    </row>
    <row r="39" ht="15.75" customHeight="1">
      <c r="A39" s="32" t="s">
        <v>77</v>
      </c>
      <c r="B39" s="33" t="s">
        <v>78</v>
      </c>
      <c r="C39" s="32" t="s">
        <v>79</v>
      </c>
      <c r="D39" s="22"/>
      <c r="E39" s="22"/>
      <c r="G39" s="31"/>
      <c r="H39" s="22"/>
      <c r="I39" s="22"/>
      <c r="J39" s="22"/>
      <c r="K39" s="22"/>
      <c r="L39" s="22"/>
      <c r="M39" s="41"/>
      <c r="N39" s="41"/>
      <c r="O39" s="31"/>
      <c r="P39" s="31"/>
      <c r="Q39" s="22"/>
      <c r="R39" s="22"/>
      <c r="S39" s="22"/>
      <c r="T39" s="22"/>
      <c r="U39" s="22"/>
      <c r="V39" s="43" t="s">
        <v>134</v>
      </c>
      <c r="W39" s="22"/>
      <c r="X39" s="22"/>
      <c r="Y39" s="29" t="s">
        <v>72</v>
      </c>
      <c r="Z39" s="22"/>
      <c r="AA39" s="37">
        <v>149.46</v>
      </c>
      <c r="AB39" s="42">
        <v>209.24</v>
      </c>
      <c r="AC39" s="31"/>
      <c r="AD39" s="32" t="s">
        <v>135</v>
      </c>
      <c r="AE39" s="22"/>
      <c r="AF39" s="22"/>
      <c r="AG39" s="40"/>
      <c r="AH39" s="40" t="str">
        <f t="shared" si="1"/>
        <v>RUUD</v>
      </c>
      <c r="AI39" s="39" t="s">
        <v>82</v>
      </c>
      <c r="AJ39" s="22"/>
    </row>
    <row r="40" ht="15.75" customHeight="1">
      <c r="A40" s="32" t="s">
        <v>77</v>
      </c>
      <c r="B40" s="33" t="s">
        <v>78</v>
      </c>
      <c r="C40" s="32" t="s">
        <v>79</v>
      </c>
      <c r="D40" s="22"/>
      <c r="E40" s="22"/>
      <c r="G40" s="31"/>
      <c r="H40" s="22"/>
      <c r="I40" s="22"/>
      <c r="J40" s="22"/>
      <c r="K40" s="22"/>
      <c r="L40" s="22"/>
      <c r="M40" s="41"/>
      <c r="N40" s="41"/>
      <c r="O40" s="31"/>
      <c r="P40" s="31"/>
      <c r="Q40" s="22"/>
      <c r="R40" s="22"/>
      <c r="S40" s="22"/>
      <c r="T40" s="22"/>
      <c r="U40" s="22"/>
      <c r="V40" s="43" t="s">
        <v>136</v>
      </c>
      <c r="W40" s="22"/>
      <c r="X40" s="22"/>
      <c r="Y40" s="29" t="s">
        <v>72</v>
      </c>
      <c r="Z40" s="22"/>
      <c r="AA40" s="37">
        <v>149.46</v>
      </c>
      <c r="AB40" s="42">
        <v>209.24</v>
      </c>
      <c r="AC40" s="31"/>
      <c r="AD40" s="32" t="s">
        <v>137</v>
      </c>
      <c r="AE40" s="22"/>
      <c r="AF40" s="22"/>
      <c r="AG40" s="40"/>
      <c r="AH40" s="40" t="str">
        <f t="shared" si="1"/>
        <v>RUUD</v>
      </c>
      <c r="AI40" s="39" t="s">
        <v>82</v>
      </c>
      <c r="AJ40" s="22"/>
    </row>
    <row r="41" ht="15.75" customHeight="1">
      <c r="A41" s="32" t="s">
        <v>77</v>
      </c>
      <c r="B41" s="33" t="s">
        <v>78</v>
      </c>
      <c r="C41" s="32" t="s">
        <v>79</v>
      </c>
      <c r="D41" s="22"/>
      <c r="E41" s="22"/>
      <c r="G41" s="22"/>
      <c r="H41" s="22"/>
      <c r="I41" s="22"/>
      <c r="J41" s="22"/>
      <c r="K41" s="22"/>
      <c r="L41" s="22"/>
      <c r="M41" s="41"/>
      <c r="N41" s="41"/>
      <c r="O41" s="31"/>
      <c r="P41" s="31"/>
      <c r="Q41" s="22"/>
      <c r="R41" s="22"/>
      <c r="S41" s="22"/>
      <c r="T41" s="22"/>
      <c r="U41" s="22"/>
      <c r="V41" s="43" t="s">
        <v>138</v>
      </c>
      <c r="W41" s="22"/>
      <c r="X41" s="22"/>
      <c r="Y41" s="29" t="s">
        <v>72</v>
      </c>
      <c r="Z41" s="22"/>
      <c r="AA41" s="37">
        <v>149.46</v>
      </c>
      <c r="AB41" s="42">
        <v>209.24</v>
      </c>
      <c r="AC41" s="31"/>
      <c r="AD41" s="32" t="s">
        <v>139</v>
      </c>
      <c r="AE41" s="22"/>
      <c r="AF41" s="22"/>
      <c r="AG41" s="40"/>
      <c r="AH41" s="40" t="str">
        <f t="shared" si="1"/>
        <v>RUUD</v>
      </c>
      <c r="AI41" s="39" t="s">
        <v>82</v>
      </c>
      <c r="AJ41" s="22"/>
    </row>
    <row r="42" ht="15.75" customHeight="1">
      <c r="A42" s="32" t="s">
        <v>77</v>
      </c>
      <c r="B42" s="33" t="s">
        <v>78</v>
      </c>
      <c r="C42" s="32" t="s">
        <v>79</v>
      </c>
      <c r="D42" s="22"/>
      <c r="E42" s="22"/>
      <c r="G42" s="22"/>
      <c r="H42" s="22"/>
      <c r="I42" s="22"/>
      <c r="J42" s="22"/>
      <c r="K42" s="22"/>
      <c r="L42" s="22"/>
      <c r="M42" s="41"/>
      <c r="N42" s="41"/>
      <c r="O42" s="31"/>
      <c r="P42" s="31"/>
      <c r="Q42" s="22"/>
      <c r="R42" s="22"/>
      <c r="S42" s="22"/>
      <c r="T42" s="22"/>
      <c r="U42" s="22"/>
      <c r="V42" s="43" t="s">
        <v>140</v>
      </c>
      <c r="W42" s="22"/>
      <c r="X42" s="22"/>
      <c r="Y42" s="29" t="s">
        <v>72</v>
      </c>
      <c r="Z42" s="22"/>
      <c r="AA42" s="37">
        <v>345.72</v>
      </c>
      <c r="AB42" s="42">
        <v>484.01</v>
      </c>
      <c r="AC42" s="31"/>
      <c r="AD42" s="32" t="s">
        <v>141</v>
      </c>
      <c r="AE42" s="22"/>
      <c r="AF42" s="22"/>
      <c r="AG42" s="40"/>
      <c r="AH42" s="40" t="str">
        <f t="shared" si="1"/>
        <v>RUUD</v>
      </c>
      <c r="AI42" s="39" t="s">
        <v>82</v>
      </c>
      <c r="AJ42" s="22"/>
    </row>
    <row r="43" ht="15.75" customHeight="1">
      <c r="A43" s="32" t="s">
        <v>77</v>
      </c>
      <c r="B43" s="33" t="s">
        <v>78</v>
      </c>
      <c r="C43" s="32" t="s">
        <v>79</v>
      </c>
      <c r="D43" s="22"/>
      <c r="E43" s="22"/>
      <c r="G43" s="22"/>
      <c r="H43" s="22"/>
      <c r="I43" s="22"/>
      <c r="J43" s="22"/>
      <c r="K43" s="22"/>
      <c r="L43" s="22"/>
      <c r="M43" s="41"/>
      <c r="N43" s="41"/>
      <c r="O43" s="31"/>
      <c r="P43" s="31"/>
      <c r="Q43" s="22"/>
      <c r="R43" s="22"/>
      <c r="S43" s="22"/>
      <c r="T43" s="22"/>
      <c r="U43" s="22"/>
      <c r="V43" s="43" t="s">
        <v>142</v>
      </c>
      <c r="W43" s="22"/>
      <c r="X43" s="22"/>
      <c r="Y43" s="29" t="s">
        <v>72</v>
      </c>
      <c r="Z43" s="22"/>
      <c r="AA43" s="37">
        <v>954.8</v>
      </c>
      <c r="AB43" s="42">
        <v>1336.71</v>
      </c>
      <c r="AC43" s="31"/>
      <c r="AD43" s="32" t="s">
        <v>143</v>
      </c>
      <c r="AE43" s="22"/>
      <c r="AF43" s="22"/>
      <c r="AG43" s="40"/>
      <c r="AH43" s="40" t="str">
        <f t="shared" si="1"/>
        <v>RUUD</v>
      </c>
      <c r="AI43" s="39" t="s">
        <v>82</v>
      </c>
      <c r="AJ43" s="22"/>
    </row>
    <row r="44" ht="15.75" customHeight="1">
      <c r="A44" s="32" t="s">
        <v>77</v>
      </c>
      <c r="B44" s="33" t="s">
        <v>144</v>
      </c>
      <c r="C44" s="32" t="s">
        <v>79</v>
      </c>
      <c r="D44" s="22"/>
      <c r="E44" s="22"/>
      <c r="G44" s="22"/>
      <c r="H44" s="22"/>
      <c r="I44" s="22"/>
      <c r="J44" s="22"/>
      <c r="K44" s="22"/>
      <c r="L44" s="22"/>
      <c r="M44" s="41"/>
      <c r="N44" s="41"/>
      <c r="O44" s="31"/>
      <c r="P44" s="31"/>
      <c r="Q44" s="22"/>
      <c r="R44" s="22"/>
      <c r="S44" s="22"/>
      <c r="T44" s="22"/>
      <c r="U44" s="22"/>
      <c r="V44" s="43" t="s">
        <v>145</v>
      </c>
      <c r="W44" s="22"/>
      <c r="X44" s="22"/>
      <c r="Y44" s="29" t="s">
        <v>72</v>
      </c>
      <c r="Z44" s="22"/>
      <c r="AA44" s="37">
        <v>1453.34</v>
      </c>
      <c r="AB44" s="42">
        <v>2034.68</v>
      </c>
      <c r="AC44" s="31"/>
      <c r="AD44" s="32" t="s">
        <v>146</v>
      </c>
      <c r="AE44" s="22"/>
      <c r="AF44" s="29" t="s">
        <v>85</v>
      </c>
      <c r="AG44" s="40"/>
      <c r="AH44" s="40" t="str">
        <f t="shared" si="1"/>
        <v>RUUD</v>
      </c>
      <c r="AI44" s="39" t="s">
        <v>82</v>
      </c>
      <c r="AJ44" s="22"/>
    </row>
    <row r="45" ht="15.75" customHeight="1">
      <c r="A45" s="32" t="s">
        <v>77</v>
      </c>
      <c r="B45" s="33" t="s">
        <v>144</v>
      </c>
      <c r="C45" s="32" t="s">
        <v>79</v>
      </c>
      <c r="D45" s="22"/>
      <c r="E45" s="22"/>
      <c r="G45" s="22"/>
      <c r="H45" s="22"/>
      <c r="I45" s="22"/>
      <c r="J45" s="22"/>
      <c r="K45" s="22"/>
      <c r="L45" s="22"/>
      <c r="M45" s="41"/>
      <c r="N45" s="41"/>
      <c r="O45" s="31"/>
      <c r="P45" s="31"/>
      <c r="Q45" s="22"/>
      <c r="R45" s="22"/>
      <c r="S45" s="22"/>
      <c r="T45" s="22"/>
      <c r="U45" s="22"/>
      <c r="V45" s="43" t="s">
        <v>147</v>
      </c>
      <c r="W45" s="22"/>
      <c r="X45" s="22"/>
      <c r="Y45" s="29" t="s">
        <v>72</v>
      </c>
      <c r="Z45" s="22"/>
      <c r="AA45" s="37">
        <v>1498.29</v>
      </c>
      <c r="AB45" s="42">
        <v>2097.6</v>
      </c>
      <c r="AC45" s="31"/>
      <c r="AD45" s="32" t="s">
        <v>148</v>
      </c>
      <c r="AE45" s="22"/>
      <c r="AF45" s="29" t="s">
        <v>85</v>
      </c>
      <c r="AG45" s="40"/>
      <c r="AH45" s="40" t="str">
        <f t="shared" si="1"/>
        <v>RUUD</v>
      </c>
      <c r="AI45" s="39" t="s">
        <v>82</v>
      </c>
      <c r="AJ45" s="22"/>
    </row>
    <row r="46" ht="15.75" customHeight="1">
      <c r="A46" s="32" t="s">
        <v>77</v>
      </c>
      <c r="B46" s="33" t="s">
        <v>144</v>
      </c>
      <c r="C46" s="32" t="s">
        <v>79</v>
      </c>
      <c r="D46" s="22"/>
      <c r="E46" s="22"/>
      <c r="G46" s="22"/>
      <c r="H46" s="22"/>
      <c r="I46" s="22"/>
      <c r="J46" s="22"/>
      <c r="K46" s="22"/>
      <c r="L46" s="22"/>
      <c r="M46" s="41"/>
      <c r="N46" s="41"/>
      <c r="O46" s="31"/>
      <c r="P46" s="31"/>
      <c r="Q46" s="22"/>
      <c r="R46" s="22"/>
      <c r="S46" s="22"/>
      <c r="T46" s="22"/>
      <c r="U46" s="22"/>
      <c r="V46" s="43" t="s">
        <v>149</v>
      </c>
      <c r="W46" s="22"/>
      <c r="X46" s="22"/>
      <c r="Y46" s="29" t="s">
        <v>72</v>
      </c>
      <c r="Z46" s="22"/>
      <c r="AA46" s="37">
        <v>1669.47</v>
      </c>
      <c r="AB46" s="42">
        <v>2337.26</v>
      </c>
      <c r="AC46" s="31"/>
      <c r="AD46" s="32" t="s">
        <v>150</v>
      </c>
      <c r="AE46" s="22"/>
      <c r="AF46" s="29" t="s">
        <v>85</v>
      </c>
      <c r="AG46" s="40"/>
      <c r="AH46" s="40" t="str">
        <f t="shared" si="1"/>
        <v>RUUD</v>
      </c>
      <c r="AI46" s="39" t="s">
        <v>82</v>
      </c>
      <c r="AJ46" s="22"/>
    </row>
    <row r="47" ht="15.75" customHeight="1">
      <c r="A47" s="32" t="s">
        <v>77</v>
      </c>
      <c r="B47" s="33" t="s">
        <v>144</v>
      </c>
      <c r="C47" s="32" t="s">
        <v>79</v>
      </c>
      <c r="D47" s="22"/>
      <c r="E47" s="22"/>
      <c r="G47" s="22"/>
      <c r="H47" s="22"/>
      <c r="I47" s="22"/>
      <c r="J47" s="22"/>
      <c r="K47" s="22"/>
      <c r="L47" s="22"/>
      <c r="M47" s="41"/>
      <c r="N47" s="41"/>
      <c r="O47" s="31"/>
      <c r="P47" s="31"/>
      <c r="Q47" s="22"/>
      <c r="R47" s="22"/>
      <c r="S47" s="22"/>
      <c r="T47" s="22"/>
      <c r="U47" s="22"/>
      <c r="V47" s="43" t="s">
        <v>151</v>
      </c>
      <c r="W47" s="22"/>
      <c r="X47" s="22"/>
      <c r="Y47" s="29" t="s">
        <v>72</v>
      </c>
      <c r="Z47" s="22"/>
      <c r="AA47" s="37">
        <v>1891.16</v>
      </c>
      <c r="AB47" s="42">
        <v>2647.62</v>
      </c>
      <c r="AC47" s="31"/>
      <c r="AD47" s="32" t="s">
        <v>152</v>
      </c>
      <c r="AE47" s="22"/>
      <c r="AF47" s="29" t="s">
        <v>85</v>
      </c>
      <c r="AG47" s="40"/>
      <c r="AH47" s="40" t="str">
        <f t="shared" si="1"/>
        <v>RUUD</v>
      </c>
      <c r="AI47" s="39" t="s">
        <v>82</v>
      </c>
      <c r="AJ47" s="22"/>
    </row>
    <row r="48" ht="15.75" customHeight="1">
      <c r="A48" s="32" t="s">
        <v>77</v>
      </c>
      <c r="B48" s="33" t="s">
        <v>144</v>
      </c>
      <c r="C48" s="32" t="s">
        <v>79</v>
      </c>
      <c r="D48" s="22"/>
      <c r="E48" s="22"/>
      <c r="G48" s="22"/>
      <c r="H48" s="22"/>
      <c r="I48" s="22"/>
      <c r="J48" s="22"/>
      <c r="K48" s="22"/>
      <c r="L48" s="22"/>
      <c r="M48" s="41"/>
      <c r="N48" s="41"/>
      <c r="O48" s="31"/>
      <c r="P48" s="31"/>
      <c r="Q48" s="22"/>
      <c r="R48" s="22"/>
      <c r="S48" s="22"/>
      <c r="T48" s="22"/>
      <c r="U48" s="22"/>
      <c r="V48" s="43" t="s">
        <v>153</v>
      </c>
      <c r="W48" s="22"/>
      <c r="X48" s="22"/>
      <c r="Y48" s="29" t="s">
        <v>72</v>
      </c>
      <c r="Z48" s="22"/>
      <c r="AA48" s="37">
        <v>2070.74</v>
      </c>
      <c r="AB48" s="42">
        <v>2899.04</v>
      </c>
      <c r="AC48" s="31"/>
      <c r="AD48" s="32" t="s">
        <v>154</v>
      </c>
      <c r="AE48" s="22"/>
      <c r="AF48" s="29" t="s">
        <v>85</v>
      </c>
      <c r="AG48" s="40"/>
      <c r="AH48" s="40" t="str">
        <f t="shared" si="1"/>
        <v>RUUD</v>
      </c>
      <c r="AI48" s="39" t="s">
        <v>82</v>
      </c>
      <c r="AJ48" s="22"/>
    </row>
    <row r="49" ht="15.75" customHeight="1">
      <c r="A49" s="32" t="s">
        <v>77</v>
      </c>
      <c r="B49" s="33" t="s">
        <v>144</v>
      </c>
      <c r="C49" s="32" t="s">
        <v>79</v>
      </c>
      <c r="D49" s="22"/>
      <c r="E49" s="22"/>
      <c r="G49" s="22"/>
      <c r="H49" s="22"/>
      <c r="I49" s="22"/>
      <c r="J49" s="22"/>
      <c r="K49" s="22"/>
      <c r="L49" s="22"/>
      <c r="M49" s="41"/>
      <c r="N49" s="41"/>
      <c r="O49" s="31"/>
      <c r="P49" s="31"/>
      <c r="Q49" s="22"/>
      <c r="R49" s="22"/>
      <c r="S49" s="22"/>
      <c r="T49" s="22"/>
      <c r="U49" s="22"/>
      <c r="V49" s="43" t="s">
        <v>155</v>
      </c>
      <c r="W49" s="22"/>
      <c r="X49" s="22"/>
      <c r="Y49" s="29" t="s">
        <v>72</v>
      </c>
      <c r="Z49" s="22"/>
      <c r="AA49" s="37">
        <v>2306.32</v>
      </c>
      <c r="AB49" s="42">
        <v>3228.84</v>
      </c>
      <c r="AC49" s="31"/>
      <c r="AD49" s="32" t="s">
        <v>156</v>
      </c>
      <c r="AE49" s="22"/>
      <c r="AF49" s="29" t="s">
        <v>85</v>
      </c>
      <c r="AG49" s="40"/>
      <c r="AH49" s="40" t="str">
        <f t="shared" si="1"/>
        <v>RUUD</v>
      </c>
      <c r="AI49" s="39" t="s">
        <v>82</v>
      </c>
      <c r="AJ49" s="22"/>
    </row>
    <row r="50" ht="15.75" customHeight="1">
      <c r="A50" s="32" t="s">
        <v>77</v>
      </c>
      <c r="B50" s="33" t="s">
        <v>144</v>
      </c>
      <c r="C50" s="32" t="s">
        <v>79</v>
      </c>
      <c r="D50" s="22"/>
      <c r="E50" s="22"/>
      <c r="G50" s="22"/>
      <c r="H50" s="22"/>
      <c r="I50" s="22"/>
      <c r="J50" s="22"/>
      <c r="K50" s="22"/>
      <c r="L50" s="22"/>
      <c r="M50" s="41"/>
      <c r="N50" s="41"/>
      <c r="O50" s="31"/>
      <c r="P50" s="31"/>
      <c r="Q50" s="22"/>
      <c r="R50" s="22"/>
      <c r="S50" s="22"/>
      <c r="T50" s="22"/>
      <c r="U50" s="22"/>
      <c r="V50" s="43" t="s">
        <v>157</v>
      </c>
      <c r="W50" s="22"/>
      <c r="X50" s="22"/>
      <c r="Y50" s="29" t="s">
        <v>72</v>
      </c>
      <c r="Z50" s="22"/>
      <c r="AA50" s="37">
        <v>2777.73</v>
      </c>
      <c r="AB50" s="42">
        <v>3888.82</v>
      </c>
      <c r="AC50" s="31"/>
      <c r="AD50" s="32" t="s">
        <v>158</v>
      </c>
      <c r="AE50" s="22"/>
      <c r="AF50" s="29" t="s">
        <v>85</v>
      </c>
      <c r="AG50" s="40"/>
      <c r="AH50" s="40" t="str">
        <f t="shared" si="1"/>
        <v>RUUD</v>
      </c>
      <c r="AI50" s="39" t="s">
        <v>82</v>
      </c>
      <c r="AJ50" s="22"/>
    </row>
    <row r="51" ht="15.75" customHeight="1">
      <c r="A51" s="32" t="s">
        <v>77</v>
      </c>
      <c r="B51" s="33" t="s">
        <v>144</v>
      </c>
      <c r="C51" s="32" t="s">
        <v>79</v>
      </c>
      <c r="D51" s="22"/>
      <c r="E51" s="22"/>
      <c r="G51" s="22"/>
      <c r="H51" s="22"/>
      <c r="I51" s="22"/>
      <c r="J51" s="22"/>
      <c r="K51" s="22"/>
      <c r="L51" s="22"/>
      <c r="M51" s="41"/>
      <c r="N51" s="41"/>
      <c r="O51" s="31"/>
      <c r="P51" s="31"/>
      <c r="Q51" s="22"/>
      <c r="R51" s="22"/>
      <c r="S51" s="22"/>
      <c r="T51" s="22"/>
      <c r="U51" s="22"/>
      <c r="V51" s="43" t="s">
        <v>159</v>
      </c>
      <c r="W51" s="22"/>
      <c r="X51" s="22"/>
      <c r="Y51" s="29" t="s">
        <v>72</v>
      </c>
      <c r="Z51" s="22"/>
      <c r="AA51" s="37">
        <v>0.0</v>
      </c>
      <c r="AB51" s="42">
        <v>0.0</v>
      </c>
      <c r="AC51" s="31"/>
      <c r="AD51" s="32" t="s">
        <v>160</v>
      </c>
      <c r="AE51" s="22"/>
      <c r="AF51" s="29" t="s">
        <v>85</v>
      </c>
      <c r="AG51" s="40"/>
      <c r="AH51" s="40" t="str">
        <f t="shared" si="1"/>
        <v>RUUD</v>
      </c>
      <c r="AI51" s="39" t="s">
        <v>82</v>
      </c>
      <c r="AJ51" s="22"/>
    </row>
    <row r="52" ht="15.75" customHeight="1">
      <c r="A52" s="32" t="s">
        <v>77</v>
      </c>
      <c r="B52" s="33" t="s">
        <v>144</v>
      </c>
      <c r="C52" s="32" t="s">
        <v>79</v>
      </c>
      <c r="D52" s="22"/>
      <c r="E52" s="22"/>
      <c r="G52" s="22"/>
      <c r="H52" s="22"/>
      <c r="I52" s="22"/>
      <c r="J52" s="22"/>
      <c r="K52" s="22"/>
      <c r="L52" s="22"/>
      <c r="M52" s="41"/>
      <c r="N52" s="41"/>
      <c r="O52" s="31"/>
      <c r="P52" s="31"/>
      <c r="Q52" s="22"/>
      <c r="R52" s="22"/>
      <c r="S52" s="22"/>
      <c r="T52" s="22"/>
      <c r="U52" s="22"/>
      <c r="V52" s="43" t="s">
        <v>161</v>
      </c>
      <c r="W52" s="22"/>
      <c r="X52" s="22"/>
      <c r="Y52" s="29" t="s">
        <v>72</v>
      </c>
      <c r="Z52" s="22"/>
      <c r="AA52" s="37">
        <v>2342.74</v>
      </c>
      <c r="AB52" s="42">
        <v>3279.83</v>
      </c>
      <c r="AC52" s="31"/>
      <c r="AD52" s="32" t="s">
        <v>162</v>
      </c>
      <c r="AE52" s="22"/>
      <c r="AF52" s="29" t="s">
        <v>85</v>
      </c>
      <c r="AG52" s="40"/>
      <c r="AH52" s="40" t="str">
        <f t="shared" si="1"/>
        <v>RUUD</v>
      </c>
      <c r="AI52" s="39" t="s">
        <v>82</v>
      </c>
      <c r="AJ52" s="22"/>
    </row>
    <row r="53" ht="15.75" customHeight="1">
      <c r="A53" s="32" t="s">
        <v>77</v>
      </c>
      <c r="B53" s="33" t="s">
        <v>144</v>
      </c>
      <c r="C53" s="32" t="s">
        <v>79</v>
      </c>
      <c r="D53" s="22"/>
      <c r="E53" s="22"/>
      <c r="G53" s="22"/>
      <c r="H53" s="22"/>
      <c r="I53" s="22"/>
      <c r="J53" s="22"/>
      <c r="K53" s="22"/>
      <c r="L53" s="22"/>
      <c r="M53" s="41"/>
      <c r="N53" s="41"/>
      <c r="O53" s="31"/>
      <c r="P53" s="31"/>
      <c r="Q53" s="22"/>
      <c r="R53" s="22"/>
      <c r="S53" s="22"/>
      <c r="T53" s="22"/>
      <c r="U53" s="22"/>
      <c r="V53" s="43" t="s">
        <v>163</v>
      </c>
      <c r="W53" s="22"/>
      <c r="X53" s="22"/>
      <c r="Y53" s="29" t="s">
        <v>72</v>
      </c>
      <c r="Z53" s="22"/>
      <c r="AA53" s="37">
        <v>2649.75</v>
      </c>
      <c r="AB53" s="42">
        <v>3709.64</v>
      </c>
      <c r="AC53" s="31"/>
      <c r="AD53" s="32" t="s">
        <v>164</v>
      </c>
      <c r="AE53" s="22"/>
      <c r="AF53" s="29" t="s">
        <v>85</v>
      </c>
      <c r="AG53" s="40"/>
      <c r="AH53" s="40" t="str">
        <f t="shared" si="1"/>
        <v>RUUD</v>
      </c>
      <c r="AI53" s="39" t="s">
        <v>82</v>
      </c>
      <c r="AJ53" s="22"/>
    </row>
    <row r="54" ht="15.75" customHeight="1">
      <c r="A54" s="32" t="s">
        <v>77</v>
      </c>
      <c r="B54" s="33" t="s">
        <v>144</v>
      </c>
      <c r="C54" s="32" t="s">
        <v>79</v>
      </c>
      <c r="D54" s="22"/>
      <c r="E54" s="22"/>
      <c r="G54" s="22"/>
      <c r="H54" s="22"/>
      <c r="I54" s="22"/>
      <c r="J54" s="22"/>
      <c r="K54" s="22"/>
      <c r="L54" s="22"/>
      <c r="M54" s="41"/>
      <c r="N54" s="41"/>
      <c r="O54" s="31"/>
      <c r="P54" s="31"/>
      <c r="Q54" s="22"/>
      <c r="R54" s="22"/>
      <c r="S54" s="22"/>
      <c r="T54" s="22"/>
      <c r="U54" s="22"/>
      <c r="V54" s="43" t="s">
        <v>165</v>
      </c>
      <c r="W54" s="22"/>
      <c r="X54" s="22"/>
      <c r="Y54" s="29" t="s">
        <v>72</v>
      </c>
      <c r="Z54" s="22"/>
      <c r="AA54" s="37">
        <v>3003.47</v>
      </c>
      <c r="AB54" s="42">
        <v>4204.85</v>
      </c>
      <c r="AC54" s="31"/>
      <c r="AD54" s="32" t="s">
        <v>166</v>
      </c>
      <c r="AE54" s="22"/>
      <c r="AF54" s="29" t="s">
        <v>85</v>
      </c>
      <c r="AG54" s="40"/>
      <c r="AH54" s="40" t="str">
        <f t="shared" si="1"/>
        <v>RUUD</v>
      </c>
      <c r="AI54" s="39" t="s">
        <v>82</v>
      </c>
      <c r="AJ54" s="22"/>
    </row>
    <row r="55" ht="15.75" customHeight="1">
      <c r="A55" s="32" t="s">
        <v>77</v>
      </c>
      <c r="B55" s="33" t="s">
        <v>144</v>
      </c>
      <c r="C55" s="32" t="s">
        <v>79</v>
      </c>
      <c r="D55" s="22"/>
      <c r="E55" s="22"/>
      <c r="G55" s="22"/>
      <c r="H55" s="22"/>
      <c r="I55" s="22"/>
      <c r="J55" s="22"/>
      <c r="K55" s="22"/>
      <c r="L55" s="22"/>
      <c r="M55" s="41"/>
      <c r="N55" s="41"/>
      <c r="O55" s="31"/>
      <c r="P55" s="31"/>
      <c r="Q55" s="22"/>
      <c r="R55" s="22"/>
      <c r="S55" s="22"/>
      <c r="T55" s="22"/>
      <c r="U55" s="22"/>
      <c r="V55" s="43" t="s">
        <v>167</v>
      </c>
      <c r="W55" s="22"/>
      <c r="X55" s="22"/>
      <c r="Y55" s="29" t="s">
        <v>72</v>
      </c>
      <c r="Z55" s="22"/>
      <c r="AA55" s="37">
        <v>3203.11</v>
      </c>
      <c r="AB55" s="42">
        <v>4484.35</v>
      </c>
      <c r="AC55" s="31"/>
      <c r="AD55" s="32" t="s">
        <v>168</v>
      </c>
      <c r="AE55" s="22"/>
      <c r="AF55" s="29" t="s">
        <v>85</v>
      </c>
      <c r="AG55" s="40"/>
      <c r="AH55" s="40" t="str">
        <f t="shared" si="1"/>
        <v>RUUD</v>
      </c>
      <c r="AI55" s="39" t="s">
        <v>82</v>
      </c>
      <c r="AJ55" s="22"/>
    </row>
    <row r="56" ht="15.75" customHeight="1">
      <c r="A56" s="32" t="s">
        <v>77</v>
      </c>
      <c r="B56" s="33" t="s">
        <v>144</v>
      </c>
      <c r="C56" s="32" t="s">
        <v>79</v>
      </c>
      <c r="D56" s="22"/>
      <c r="E56" s="22"/>
      <c r="G56" s="22"/>
      <c r="H56" s="22"/>
      <c r="I56" s="22"/>
      <c r="J56" s="22"/>
      <c r="K56" s="22"/>
      <c r="L56" s="22"/>
      <c r="M56" s="41"/>
      <c r="N56" s="41"/>
      <c r="O56" s="31"/>
      <c r="P56" s="31"/>
      <c r="Q56" s="22"/>
      <c r="R56" s="22"/>
      <c r="S56" s="22"/>
      <c r="T56" s="22"/>
      <c r="U56" s="22"/>
      <c r="V56" s="43" t="s">
        <v>169</v>
      </c>
      <c r="W56" s="22"/>
      <c r="X56" s="22"/>
      <c r="Y56" s="29" t="s">
        <v>72</v>
      </c>
      <c r="Z56" s="22"/>
      <c r="AA56" s="37">
        <v>3665.91</v>
      </c>
      <c r="AB56" s="42">
        <v>5132.28</v>
      </c>
      <c r="AC56" s="31"/>
      <c r="AD56" s="32" t="s">
        <v>170</v>
      </c>
      <c r="AE56" s="22"/>
      <c r="AF56" s="29" t="s">
        <v>85</v>
      </c>
      <c r="AG56" s="40"/>
      <c r="AH56" s="40" t="str">
        <f t="shared" si="1"/>
        <v>RUUD</v>
      </c>
      <c r="AI56" s="39" t="s">
        <v>82</v>
      </c>
      <c r="AJ56" s="22"/>
    </row>
    <row r="57" ht="15.75" customHeight="1">
      <c r="A57" s="32" t="s">
        <v>77</v>
      </c>
      <c r="B57" s="33" t="s">
        <v>144</v>
      </c>
      <c r="C57" s="32" t="s">
        <v>79</v>
      </c>
      <c r="D57" s="22"/>
      <c r="E57" s="22"/>
      <c r="G57" s="22"/>
      <c r="H57" s="22"/>
      <c r="I57" s="22"/>
      <c r="J57" s="22"/>
      <c r="K57" s="22"/>
      <c r="L57" s="22"/>
      <c r="M57" s="41"/>
      <c r="N57" s="41"/>
      <c r="O57" s="31"/>
      <c r="P57" s="31"/>
      <c r="Q57" s="22"/>
      <c r="R57" s="22"/>
      <c r="S57" s="22"/>
      <c r="T57" s="22"/>
      <c r="U57" s="22"/>
      <c r="V57" s="43" t="s">
        <v>171</v>
      </c>
      <c r="W57" s="22"/>
      <c r="X57" s="22"/>
      <c r="Y57" s="29" t="s">
        <v>72</v>
      </c>
      <c r="Z57" s="22"/>
      <c r="AA57" s="37">
        <v>4322.69</v>
      </c>
      <c r="AB57" s="42">
        <v>6051.77</v>
      </c>
      <c r="AC57" s="31"/>
      <c r="AD57" s="32" t="s">
        <v>172</v>
      </c>
      <c r="AE57" s="22"/>
      <c r="AF57" s="29" t="s">
        <v>85</v>
      </c>
      <c r="AG57" s="40"/>
      <c r="AH57" s="40" t="str">
        <f t="shared" si="1"/>
        <v>RUUD</v>
      </c>
      <c r="AI57" s="39" t="s">
        <v>82</v>
      </c>
      <c r="AJ57" s="22"/>
    </row>
    <row r="58" ht="15.75" customHeight="1">
      <c r="A58" s="32" t="s">
        <v>77</v>
      </c>
      <c r="B58" s="33" t="s">
        <v>173</v>
      </c>
      <c r="C58" s="32" t="s">
        <v>79</v>
      </c>
      <c r="D58" s="22"/>
      <c r="E58" s="22"/>
      <c r="G58" s="22"/>
      <c r="H58" s="22"/>
      <c r="I58" s="22"/>
      <c r="J58" s="22"/>
      <c r="K58" s="22"/>
      <c r="L58" s="22"/>
      <c r="M58" s="41"/>
      <c r="N58" s="41"/>
      <c r="O58" s="31"/>
      <c r="P58" s="31"/>
      <c r="Q58" s="22"/>
      <c r="R58" s="22"/>
      <c r="S58" s="22"/>
      <c r="T58" s="22"/>
      <c r="U58" s="22"/>
      <c r="V58" s="43" t="s">
        <v>174</v>
      </c>
      <c r="W58" s="22"/>
      <c r="X58" s="22"/>
      <c r="Y58" s="29" t="s">
        <v>72</v>
      </c>
      <c r="Z58" s="22"/>
      <c r="AA58" s="37">
        <v>700.11</v>
      </c>
      <c r="AB58" s="42">
        <v>980.15</v>
      </c>
      <c r="AC58" s="31"/>
      <c r="AD58" s="32" t="s">
        <v>175</v>
      </c>
      <c r="AE58" s="22"/>
      <c r="AF58" s="29"/>
      <c r="AG58" s="40"/>
      <c r="AH58" s="40" t="str">
        <f t="shared" si="1"/>
        <v>RUUD</v>
      </c>
      <c r="AI58" s="39" t="s">
        <v>82</v>
      </c>
      <c r="AJ58" s="22"/>
    </row>
    <row r="59" ht="15.75" customHeight="1">
      <c r="A59" s="32" t="s">
        <v>77</v>
      </c>
      <c r="B59" s="33" t="s">
        <v>173</v>
      </c>
      <c r="C59" s="32" t="s">
        <v>79</v>
      </c>
      <c r="D59" s="22"/>
      <c r="E59" s="22"/>
      <c r="G59" s="22"/>
      <c r="H59" s="22"/>
      <c r="I59" s="22"/>
      <c r="J59" s="22"/>
      <c r="K59" s="22"/>
      <c r="L59" s="22"/>
      <c r="M59" s="41"/>
      <c r="N59" s="41"/>
      <c r="O59" s="31"/>
      <c r="P59" s="31"/>
      <c r="Q59" s="22"/>
      <c r="R59" s="22"/>
      <c r="S59" s="22"/>
      <c r="T59" s="22"/>
      <c r="U59" s="22"/>
      <c r="V59" s="43" t="s">
        <v>176</v>
      </c>
      <c r="W59" s="22"/>
      <c r="X59" s="22"/>
      <c r="Y59" s="29" t="s">
        <v>72</v>
      </c>
      <c r="Z59" s="22"/>
      <c r="AA59" s="37">
        <v>851.53</v>
      </c>
      <c r="AB59" s="42">
        <v>1192.14</v>
      </c>
      <c r="AC59" s="31"/>
      <c r="AD59" s="32" t="s">
        <v>177</v>
      </c>
      <c r="AE59" s="22"/>
      <c r="AF59" s="29"/>
      <c r="AG59" s="40"/>
      <c r="AH59" s="40" t="str">
        <f t="shared" si="1"/>
        <v>RUUD</v>
      </c>
      <c r="AI59" s="39" t="s">
        <v>82</v>
      </c>
      <c r="AJ59" s="22"/>
    </row>
    <row r="60" ht="15.75" customHeight="1">
      <c r="A60" s="32" t="s">
        <v>77</v>
      </c>
      <c r="B60" s="33" t="s">
        <v>173</v>
      </c>
      <c r="C60" s="32" t="s">
        <v>79</v>
      </c>
      <c r="D60" s="22"/>
      <c r="E60" s="22"/>
      <c r="G60" s="22"/>
      <c r="H60" s="22"/>
      <c r="I60" s="22"/>
      <c r="J60" s="22"/>
      <c r="K60" s="22"/>
      <c r="L60" s="22"/>
      <c r="M60" s="41"/>
      <c r="N60" s="41"/>
      <c r="O60" s="31"/>
      <c r="P60" s="31"/>
      <c r="Q60" s="22"/>
      <c r="R60" s="22"/>
      <c r="S60" s="22"/>
      <c r="T60" s="22"/>
      <c r="U60" s="22"/>
      <c r="V60" s="43" t="s">
        <v>176</v>
      </c>
      <c r="W60" s="22"/>
      <c r="X60" s="22"/>
      <c r="Y60" s="29" t="s">
        <v>72</v>
      </c>
      <c r="Z60" s="22"/>
      <c r="AA60" s="37">
        <v>875.37</v>
      </c>
      <c r="AB60" s="42">
        <v>1225.52</v>
      </c>
      <c r="AC60" s="31"/>
      <c r="AD60" s="32" t="s">
        <v>178</v>
      </c>
      <c r="AE60" s="22"/>
      <c r="AF60" s="22"/>
      <c r="AG60" s="40"/>
      <c r="AH60" s="40" t="str">
        <f t="shared" si="1"/>
        <v>RUUD</v>
      </c>
      <c r="AI60" s="39" t="s">
        <v>82</v>
      </c>
      <c r="AJ60" s="22"/>
    </row>
    <row r="61" ht="15.75" customHeight="1">
      <c r="A61" s="32" t="s">
        <v>77</v>
      </c>
      <c r="B61" s="33" t="s">
        <v>173</v>
      </c>
      <c r="C61" s="32" t="s">
        <v>79</v>
      </c>
      <c r="D61" s="22"/>
      <c r="E61" s="22"/>
      <c r="G61" s="22"/>
      <c r="H61" s="22"/>
      <c r="I61" s="22"/>
      <c r="J61" s="22"/>
      <c r="K61" s="22"/>
      <c r="L61" s="22"/>
      <c r="M61" s="41"/>
      <c r="N61" s="41"/>
      <c r="O61" s="31"/>
      <c r="P61" s="31"/>
      <c r="Q61" s="22"/>
      <c r="R61" s="22"/>
      <c r="S61" s="22"/>
      <c r="T61" s="22"/>
      <c r="U61" s="22"/>
      <c r="V61" s="43" t="s">
        <v>176</v>
      </c>
      <c r="W61" s="22"/>
      <c r="X61" s="22"/>
      <c r="Y61" s="29" t="s">
        <v>72</v>
      </c>
      <c r="Z61" s="22"/>
      <c r="AA61" s="37">
        <v>550.06</v>
      </c>
      <c r="AB61" s="42">
        <v>770.08</v>
      </c>
      <c r="AC61" s="31"/>
      <c r="AD61" s="32" t="s">
        <v>179</v>
      </c>
      <c r="AE61" s="22"/>
      <c r="AF61" s="22"/>
      <c r="AG61" s="40"/>
      <c r="AH61" s="40" t="str">
        <f t="shared" si="1"/>
        <v>RUUD</v>
      </c>
      <c r="AI61" s="39" t="s">
        <v>82</v>
      </c>
      <c r="AJ61" s="22"/>
    </row>
    <row r="62" ht="15.75" customHeight="1">
      <c r="A62" s="32" t="s">
        <v>77</v>
      </c>
      <c r="B62" s="33" t="s">
        <v>173</v>
      </c>
      <c r="C62" s="32" t="s">
        <v>79</v>
      </c>
      <c r="D62" s="22"/>
      <c r="E62" s="22"/>
      <c r="G62" s="22"/>
      <c r="H62" s="22"/>
      <c r="I62" s="22"/>
      <c r="J62" s="22"/>
      <c r="K62" s="22"/>
      <c r="L62" s="22"/>
      <c r="M62" s="41"/>
      <c r="N62" s="41"/>
      <c r="O62" s="31"/>
      <c r="P62" s="31"/>
      <c r="Q62" s="22"/>
      <c r="R62" s="22"/>
      <c r="S62" s="22"/>
      <c r="T62" s="22"/>
      <c r="U62" s="22"/>
      <c r="V62" s="43" t="s">
        <v>180</v>
      </c>
      <c r="W62" s="22"/>
      <c r="X62" s="22"/>
      <c r="Y62" s="29" t="s">
        <v>72</v>
      </c>
      <c r="Z62" s="22"/>
      <c r="AA62" s="37">
        <v>1281.01</v>
      </c>
      <c r="AB62" s="42">
        <v>1793.41</v>
      </c>
      <c r="AC62" s="31"/>
      <c r="AD62" s="32" t="s">
        <v>181</v>
      </c>
      <c r="AE62" s="22"/>
      <c r="AF62" s="22"/>
      <c r="AG62" s="40"/>
      <c r="AH62" s="40" t="str">
        <f t="shared" si="1"/>
        <v>RUUD</v>
      </c>
      <c r="AI62" s="39" t="s">
        <v>82</v>
      </c>
      <c r="AJ62" s="22"/>
    </row>
    <row r="63" ht="15.75" customHeight="1">
      <c r="A63" s="32" t="s">
        <v>77</v>
      </c>
      <c r="B63" s="33" t="s">
        <v>173</v>
      </c>
      <c r="C63" s="32" t="s">
        <v>79</v>
      </c>
      <c r="D63" s="22"/>
      <c r="E63" s="22"/>
      <c r="G63" s="22"/>
      <c r="H63" s="22"/>
      <c r="I63" s="22"/>
      <c r="J63" s="22"/>
      <c r="K63" s="22"/>
      <c r="L63" s="22"/>
      <c r="M63" s="41"/>
      <c r="N63" s="41"/>
      <c r="O63" s="31"/>
      <c r="P63" s="31"/>
      <c r="Q63" s="22"/>
      <c r="R63" s="22"/>
      <c r="S63" s="22"/>
      <c r="T63" s="22"/>
      <c r="U63" s="22"/>
      <c r="V63" s="43" t="s">
        <v>180</v>
      </c>
      <c r="W63" s="22"/>
      <c r="X63" s="22"/>
      <c r="Y63" s="29" t="s">
        <v>72</v>
      </c>
      <c r="Z63" s="22"/>
      <c r="AA63" s="37">
        <v>0.0</v>
      </c>
      <c r="AB63" s="42">
        <v>0.0</v>
      </c>
      <c r="AC63" s="31"/>
      <c r="AD63" s="32" t="s">
        <v>182</v>
      </c>
      <c r="AE63" s="22"/>
      <c r="AF63" s="22"/>
      <c r="AG63" s="40"/>
      <c r="AH63" s="40" t="str">
        <f t="shared" si="1"/>
        <v>RUUD</v>
      </c>
      <c r="AI63" s="39" t="s">
        <v>82</v>
      </c>
      <c r="AJ63" s="22"/>
    </row>
    <row r="64" ht="15.75" customHeight="1">
      <c r="A64" s="32" t="s">
        <v>77</v>
      </c>
      <c r="B64" s="33" t="s">
        <v>173</v>
      </c>
      <c r="C64" s="32" t="s">
        <v>79</v>
      </c>
      <c r="D64" s="22"/>
      <c r="E64" s="22"/>
      <c r="G64" s="22"/>
      <c r="H64" s="22"/>
      <c r="I64" s="22"/>
      <c r="J64" s="22"/>
      <c r="K64" s="22"/>
      <c r="L64" s="22"/>
      <c r="M64" s="41"/>
      <c r="N64" s="41"/>
      <c r="O64" s="31"/>
      <c r="P64" s="31"/>
      <c r="Q64" s="22"/>
      <c r="R64" s="22"/>
      <c r="S64" s="22"/>
      <c r="T64" s="22"/>
      <c r="U64" s="22"/>
      <c r="V64" s="43" t="s">
        <v>180</v>
      </c>
      <c r="W64" s="22"/>
      <c r="X64" s="22"/>
      <c r="Y64" s="29" t="s">
        <v>72</v>
      </c>
      <c r="Z64" s="22"/>
      <c r="AA64" s="37">
        <v>0.0</v>
      </c>
      <c r="AB64" s="42">
        <v>0.0</v>
      </c>
      <c r="AC64" s="31"/>
      <c r="AD64" s="32" t="s">
        <v>183</v>
      </c>
      <c r="AE64" s="22"/>
      <c r="AF64" s="22"/>
      <c r="AG64" s="40"/>
      <c r="AH64" s="40" t="str">
        <f t="shared" si="1"/>
        <v>RUUD</v>
      </c>
      <c r="AI64" s="39" t="s">
        <v>82</v>
      </c>
      <c r="AJ64" s="22"/>
    </row>
    <row r="65" ht="15.75" customHeight="1">
      <c r="A65" s="32" t="s">
        <v>77</v>
      </c>
      <c r="B65" s="33" t="s">
        <v>173</v>
      </c>
      <c r="C65" s="32" t="s">
        <v>79</v>
      </c>
      <c r="D65" s="22"/>
      <c r="E65" s="22"/>
      <c r="G65" s="22"/>
      <c r="H65" s="22"/>
      <c r="I65" s="22"/>
      <c r="J65" s="22"/>
      <c r="K65" s="22"/>
      <c r="L65" s="22"/>
      <c r="M65" s="41"/>
      <c r="N65" s="41"/>
      <c r="O65" s="31"/>
      <c r="P65" s="31"/>
      <c r="Q65" s="22"/>
      <c r="R65" s="22"/>
      <c r="S65" s="22"/>
      <c r="T65" s="22"/>
      <c r="U65" s="22"/>
      <c r="V65" s="43" t="s">
        <v>180</v>
      </c>
      <c r="W65" s="22"/>
      <c r="X65" s="22"/>
      <c r="Y65" s="29" t="s">
        <v>72</v>
      </c>
      <c r="Z65" s="22"/>
      <c r="AA65" s="37">
        <v>0.0</v>
      </c>
      <c r="AB65" s="42">
        <v>0.0</v>
      </c>
      <c r="AC65" s="31"/>
      <c r="AD65" s="32" t="s">
        <v>184</v>
      </c>
      <c r="AE65" s="22"/>
      <c r="AF65" s="22"/>
      <c r="AG65" s="40"/>
      <c r="AH65" s="40" t="str">
        <f t="shared" si="1"/>
        <v>RUUD</v>
      </c>
      <c r="AI65" s="39" t="s">
        <v>82</v>
      </c>
      <c r="AJ65" s="22"/>
    </row>
    <row r="66" ht="15.75" customHeight="1">
      <c r="A66" s="32" t="s">
        <v>77</v>
      </c>
      <c r="B66" s="33" t="s">
        <v>173</v>
      </c>
      <c r="C66" s="32" t="s">
        <v>79</v>
      </c>
      <c r="D66" s="22"/>
      <c r="E66" s="22"/>
      <c r="G66" s="22"/>
      <c r="H66" s="22"/>
      <c r="I66" s="22"/>
      <c r="J66" s="22"/>
      <c r="K66" s="22"/>
      <c r="L66" s="22"/>
      <c r="M66" s="41"/>
      <c r="N66" s="41"/>
      <c r="O66" s="31"/>
      <c r="P66" s="31"/>
      <c r="Q66" s="22"/>
      <c r="R66" s="22"/>
      <c r="S66" s="22"/>
      <c r="T66" s="22"/>
      <c r="U66" s="22"/>
      <c r="V66" s="43" t="s">
        <v>180</v>
      </c>
      <c r="W66" s="22"/>
      <c r="X66" s="22"/>
      <c r="Y66" s="29" t="s">
        <v>72</v>
      </c>
      <c r="Z66" s="22"/>
      <c r="AA66" s="37">
        <v>0.0</v>
      </c>
      <c r="AB66" s="42">
        <v>0.0</v>
      </c>
      <c r="AC66" s="31"/>
      <c r="AD66" s="32" t="s">
        <v>185</v>
      </c>
      <c r="AE66" s="22"/>
      <c r="AF66" s="22"/>
      <c r="AG66" s="40"/>
      <c r="AH66" s="40" t="str">
        <f t="shared" si="1"/>
        <v>RUUD</v>
      </c>
      <c r="AI66" s="39" t="s">
        <v>82</v>
      </c>
      <c r="AJ66" s="22"/>
    </row>
    <row r="67" ht="15.75" customHeight="1">
      <c r="A67" s="32" t="s">
        <v>77</v>
      </c>
      <c r="B67" s="33" t="s">
        <v>173</v>
      </c>
      <c r="C67" s="32" t="s">
        <v>79</v>
      </c>
      <c r="D67" s="22"/>
      <c r="E67" s="22"/>
      <c r="G67" s="22"/>
      <c r="H67" s="22"/>
      <c r="I67" s="22"/>
      <c r="J67" s="22"/>
      <c r="K67" s="22"/>
      <c r="L67" s="22"/>
      <c r="M67" s="41"/>
      <c r="N67" s="41"/>
      <c r="O67" s="31"/>
      <c r="P67" s="31"/>
      <c r="Q67" s="22"/>
      <c r="R67" s="22"/>
      <c r="S67" s="22"/>
      <c r="T67" s="22"/>
      <c r="U67" s="22"/>
      <c r="V67" s="43" t="s">
        <v>180</v>
      </c>
      <c r="W67" s="22"/>
      <c r="X67" s="22"/>
      <c r="Y67" s="29" t="s">
        <v>72</v>
      </c>
      <c r="Z67" s="22"/>
      <c r="AA67" s="37">
        <v>0.0</v>
      </c>
      <c r="AB67" s="42">
        <v>0.0</v>
      </c>
      <c r="AC67" s="31"/>
      <c r="AD67" s="32" t="s">
        <v>186</v>
      </c>
      <c r="AE67" s="22"/>
      <c r="AF67" s="22"/>
      <c r="AG67" s="40"/>
      <c r="AH67" s="40" t="str">
        <f t="shared" si="1"/>
        <v>RUUD</v>
      </c>
      <c r="AI67" s="39" t="s">
        <v>82</v>
      </c>
      <c r="AJ67" s="22"/>
    </row>
    <row r="68" ht="15.75" customHeight="1">
      <c r="A68" s="32" t="s">
        <v>77</v>
      </c>
      <c r="B68" s="33" t="s">
        <v>173</v>
      </c>
      <c r="C68" s="32" t="s">
        <v>79</v>
      </c>
      <c r="D68" s="22"/>
      <c r="E68" s="22"/>
      <c r="G68" s="22"/>
      <c r="H68" s="22"/>
      <c r="I68" s="22"/>
      <c r="J68" s="22"/>
      <c r="K68" s="22"/>
      <c r="L68" s="22"/>
      <c r="M68" s="41"/>
      <c r="N68" s="41"/>
      <c r="O68" s="31"/>
      <c r="P68" s="31"/>
      <c r="Q68" s="22"/>
      <c r="R68" s="22"/>
      <c r="S68" s="22"/>
      <c r="T68" s="22"/>
      <c r="U68" s="22"/>
      <c r="V68" s="43" t="s">
        <v>187</v>
      </c>
      <c r="W68" s="22"/>
      <c r="X68" s="22"/>
      <c r="Y68" s="29" t="s">
        <v>72</v>
      </c>
      <c r="Z68" s="22"/>
      <c r="AA68" s="37">
        <v>625.96</v>
      </c>
      <c r="AB68" s="42">
        <v>876.35</v>
      </c>
      <c r="AC68" s="31"/>
      <c r="AD68" s="32" t="s">
        <v>188</v>
      </c>
      <c r="AE68" s="22"/>
      <c r="AF68" s="22"/>
      <c r="AG68" s="40"/>
      <c r="AH68" s="40" t="str">
        <f t="shared" si="1"/>
        <v>RUUD</v>
      </c>
      <c r="AI68" s="39" t="s">
        <v>82</v>
      </c>
      <c r="AJ68" s="22"/>
    </row>
    <row r="69" ht="15.75" customHeight="1">
      <c r="A69" s="32" t="s">
        <v>77</v>
      </c>
      <c r="B69" s="32" t="s">
        <v>173</v>
      </c>
      <c r="C69" s="32" t="s">
        <v>79</v>
      </c>
      <c r="D69" s="22"/>
      <c r="E69" s="22"/>
      <c r="G69" s="22"/>
      <c r="H69" s="22"/>
      <c r="I69" s="22"/>
      <c r="J69" s="22"/>
      <c r="K69" s="22"/>
      <c r="L69" s="22"/>
      <c r="M69" s="41"/>
      <c r="N69" s="41"/>
      <c r="O69" s="31"/>
      <c r="P69" s="31"/>
      <c r="Q69" s="22"/>
      <c r="R69" s="22"/>
      <c r="S69" s="22"/>
      <c r="T69" s="22"/>
      <c r="U69" s="22"/>
      <c r="V69" s="32" t="s">
        <v>189</v>
      </c>
      <c r="W69" s="22"/>
      <c r="X69" s="22"/>
      <c r="Y69" s="29" t="s">
        <v>72</v>
      </c>
      <c r="Z69" s="22"/>
      <c r="AA69" s="37">
        <v>0.0</v>
      </c>
      <c r="AB69" s="42">
        <v>0.0</v>
      </c>
      <c r="AC69" s="31"/>
      <c r="AD69" s="32" t="s">
        <v>190</v>
      </c>
      <c r="AE69" s="22"/>
      <c r="AF69" s="22"/>
      <c r="AG69" s="40"/>
      <c r="AH69" s="40" t="str">
        <f t="shared" si="1"/>
        <v>RUUD</v>
      </c>
      <c r="AI69" s="39" t="s">
        <v>82</v>
      </c>
      <c r="AJ69" s="22"/>
    </row>
    <row r="70" ht="15.75" customHeight="1">
      <c r="A70" s="32" t="s">
        <v>77</v>
      </c>
      <c r="B70" s="32" t="s">
        <v>173</v>
      </c>
      <c r="C70" s="32" t="s">
        <v>79</v>
      </c>
      <c r="D70" s="22"/>
      <c r="E70" s="22"/>
      <c r="G70" s="22"/>
      <c r="H70" s="22"/>
      <c r="I70" s="22"/>
      <c r="J70" s="22"/>
      <c r="K70" s="22"/>
      <c r="L70" s="22"/>
      <c r="M70" s="41"/>
      <c r="N70" s="41"/>
      <c r="O70" s="31"/>
      <c r="P70" s="31"/>
      <c r="Q70" s="22"/>
      <c r="R70" s="22"/>
      <c r="S70" s="22"/>
      <c r="T70" s="22"/>
      <c r="U70" s="22"/>
      <c r="V70" s="32" t="s">
        <v>189</v>
      </c>
      <c r="W70" s="22"/>
      <c r="X70" s="22"/>
      <c r="Y70" s="29" t="s">
        <v>72</v>
      </c>
      <c r="Z70" s="22"/>
      <c r="AA70" s="37">
        <v>0.0</v>
      </c>
      <c r="AB70" s="42">
        <v>0.0</v>
      </c>
      <c r="AC70" s="31"/>
      <c r="AD70" s="32" t="s">
        <v>191</v>
      </c>
      <c r="AE70" s="22"/>
      <c r="AF70" s="22"/>
      <c r="AG70" s="40"/>
      <c r="AH70" s="40" t="str">
        <f t="shared" si="1"/>
        <v>RUUD</v>
      </c>
      <c r="AI70" s="39" t="s">
        <v>82</v>
      </c>
      <c r="AJ70" s="22"/>
    </row>
    <row r="71" ht="15.75" customHeight="1">
      <c r="A71" s="32" t="s">
        <v>77</v>
      </c>
      <c r="B71" s="32" t="s">
        <v>173</v>
      </c>
      <c r="C71" s="32" t="s">
        <v>79</v>
      </c>
      <c r="D71" s="22"/>
      <c r="E71" s="22"/>
      <c r="G71" s="22"/>
      <c r="H71" s="22"/>
      <c r="I71" s="22"/>
      <c r="J71" s="22"/>
      <c r="K71" s="22"/>
      <c r="L71" s="22"/>
      <c r="M71" s="41"/>
      <c r="N71" s="41"/>
      <c r="O71" s="31"/>
      <c r="P71" s="31"/>
      <c r="Q71" s="22"/>
      <c r="R71" s="22"/>
      <c r="S71" s="22"/>
      <c r="T71" s="22"/>
      <c r="U71" s="22"/>
      <c r="V71" s="32" t="s">
        <v>189</v>
      </c>
      <c r="W71" s="22"/>
      <c r="X71" s="22"/>
      <c r="Y71" s="29" t="s">
        <v>72</v>
      </c>
      <c r="Z71" s="22"/>
      <c r="AA71" s="37">
        <v>0.0</v>
      </c>
      <c r="AB71" s="42">
        <v>0.0</v>
      </c>
      <c r="AC71" s="31"/>
      <c r="AD71" s="32" t="s">
        <v>192</v>
      </c>
      <c r="AE71" s="22"/>
      <c r="AF71" s="22"/>
      <c r="AG71" s="40"/>
      <c r="AH71" s="40" t="str">
        <f t="shared" si="1"/>
        <v>RUUD</v>
      </c>
      <c r="AI71" s="39" t="s">
        <v>82</v>
      </c>
      <c r="AJ71" s="22"/>
    </row>
    <row r="72" ht="15.75" customHeight="1">
      <c r="A72" s="32" t="s">
        <v>77</v>
      </c>
      <c r="B72" s="32" t="s">
        <v>173</v>
      </c>
      <c r="C72" s="32" t="s">
        <v>79</v>
      </c>
      <c r="D72" s="22"/>
      <c r="E72" s="22"/>
      <c r="G72" s="22"/>
      <c r="H72" s="22"/>
      <c r="I72" s="22"/>
      <c r="J72" s="22"/>
      <c r="K72" s="22"/>
      <c r="L72" s="22"/>
      <c r="M72" s="41"/>
      <c r="N72" s="41"/>
      <c r="O72" s="31"/>
      <c r="P72" s="31"/>
      <c r="Q72" s="22"/>
      <c r="R72" s="22"/>
      <c r="S72" s="22"/>
      <c r="T72" s="22"/>
      <c r="U72" s="22"/>
      <c r="V72" s="32" t="s">
        <v>189</v>
      </c>
      <c r="W72" s="22"/>
      <c r="X72" s="22"/>
      <c r="Y72" s="29" t="s">
        <v>72</v>
      </c>
      <c r="Z72" s="22"/>
      <c r="AA72" s="37">
        <v>811.91</v>
      </c>
      <c r="AB72" s="42">
        <v>1136.67</v>
      </c>
      <c r="AC72" s="31"/>
      <c r="AD72" s="32" t="s">
        <v>193</v>
      </c>
      <c r="AE72" s="22"/>
      <c r="AF72" s="22"/>
      <c r="AG72" s="40"/>
      <c r="AH72" s="40" t="str">
        <f t="shared" si="1"/>
        <v>RUUD</v>
      </c>
      <c r="AI72" s="39" t="s">
        <v>82</v>
      </c>
      <c r="AJ72" s="22"/>
    </row>
    <row r="73" ht="15.75" customHeight="1">
      <c r="A73" s="32" t="s">
        <v>77</v>
      </c>
      <c r="B73" s="32" t="s">
        <v>173</v>
      </c>
      <c r="C73" s="32" t="s">
        <v>79</v>
      </c>
      <c r="D73" s="22"/>
      <c r="E73" s="22"/>
      <c r="G73" s="22"/>
      <c r="H73" s="22"/>
      <c r="I73" s="22"/>
      <c r="J73" s="22"/>
      <c r="K73" s="22"/>
      <c r="L73" s="22"/>
      <c r="M73" s="41"/>
      <c r="N73" s="41"/>
      <c r="O73" s="31"/>
      <c r="P73" s="31"/>
      <c r="Q73" s="22"/>
      <c r="R73" s="22"/>
      <c r="S73" s="22"/>
      <c r="T73" s="22"/>
      <c r="U73" s="22"/>
      <c r="V73" s="32" t="s">
        <v>189</v>
      </c>
      <c r="W73" s="22"/>
      <c r="X73" s="22"/>
      <c r="Y73" s="29" t="s">
        <v>72</v>
      </c>
      <c r="Z73" s="22"/>
      <c r="AA73" s="37">
        <v>633.85</v>
      </c>
      <c r="AB73" s="42">
        <v>887.39</v>
      </c>
      <c r="AC73" s="31"/>
      <c r="AD73" s="32" t="s">
        <v>194</v>
      </c>
      <c r="AE73" s="22"/>
      <c r="AF73" s="22"/>
      <c r="AG73" s="40"/>
      <c r="AH73" s="40" t="str">
        <f t="shared" si="1"/>
        <v>RUUD</v>
      </c>
      <c r="AI73" s="39" t="s">
        <v>82</v>
      </c>
      <c r="AJ73" s="22"/>
    </row>
    <row r="74" ht="15.75" customHeight="1">
      <c r="A74" s="32" t="s">
        <v>77</v>
      </c>
      <c r="B74" s="32" t="s">
        <v>173</v>
      </c>
      <c r="C74" s="32" t="s">
        <v>79</v>
      </c>
      <c r="D74" s="22"/>
      <c r="E74" s="22"/>
      <c r="G74" s="22"/>
      <c r="H74" s="22"/>
      <c r="I74" s="22"/>
      <c r="J74" s="22"/>
      <c r="K74" s="22"/>
      <c r="L74" s="22"/>
      <c r="M74" s="41"/>
      <c r="N74" s="41"/>
      <c r="O74" s="31"/>
      <c r="P74" s="31"/>
      <c r="Q74" s="22"/>
      <c r="R74" s="22"/>
      <c r="S74" s="22"/>
      <c r="T74" s="22"/>
      <c r="U74" s="22"/>
      <c r="V74" s="32" t="s">
        <v>195</v>
      </c>
      <c r="W74" s="22"/>
      <c r="X74" s="22"/>
      <c r="Y74" s="29" t="s">
        <v>72</v>
      </c>
      <c r="Z74" s="22"/>
      <c r="AA74" s="37">
        <v>0.0</v>
      </c>
      <c r="AB74" s="42">
        <v>0.0</v>
      </c>
      <c r="AC74" s="31"/>
      <c r="AD74" s="32" t="s">
        <v>196</v>
      </c>
      <c r="AE74" s="22"/>
      <c r="AF74" s="22"/>
      <c r="AG74" s="40"/>
      <c r="AH74" s="40" t="str">
        <f t="shared" si="1"/>
        <v>RUUD</v>
      </c>
      <c r="AI74" s="39" t="s">
        <v>82</v>
      </c>
      <c r="AJ74" s="22"/>
    </row>
    <row r="75" ht="15.75" customHeight="1">
      <c r="A75" s="32" t="s">
        <v>77</v>
      </c>
      <c r="B75" s="32" t="s">
        <v>173</v>
      </c>
      <c r="C75" s="32" t="s">
        <v>79</v>
      </c>
      <c r="D75" s="22"/>
      <c r="E75" s="22"/>
      <c r="G75" s="22"/>
      <c r="H75" s="22"/>
      <c r="I75" s="22"/>
      <c r="J75" s="22"/>
      <c r="K75" s="22"/>
      <c r="L75" s="22"/>
      <c r="M75" s="41"/>
      <c r="N75" s="41"/>
      <c r="O75" s="31"/>
      <c r="P75" s="31"/>
      <c r="Q75" s="22"/>
      <c r="R75" s="22"/>
      <c r="S75" s="22"/>
      <c r="T75" s="22"/>
      <c r="U75" s="22"/>
      <c r="V75" s="32" t="s">
        <v>197</v>
      </c>
      <c r="W75" s="22"/>
      <c r="X75" s="22"/>
      <c r="Y75" s="29" t="s">
        <v>72</v>
      </c>
      <c r="Z75" s="22"/>
      <c r="AA75" s="37">
        <v>0.0</v>
      </c>
      <c r="AB75" s="42">
        <v>0.0</v>
      </c>
      <c r="AC75" s="31"/>
      <c r="AD75" s="32" t="s">
        <v>198</v>
      </c>
      <c r="AE75" s="22"/>
      <c r="AF75" s="22"/>
      <c r="AG75" s="40"/>
      <c r="AH75" s="40" t="str">
        <f t="shared" si="1"/>
        <v>RUUD</v>
      </c>
      <c r="AI75" s="39" t="s">
        <v>82</v>
      </c>
      <c r="AJ75" s="22"/>
    </row>
    <row r="76" ht="15.75" customHeight="1">
      <c r="A76" s="32" t="s">
        <v>77</v>
      </c>
      <c r="B76" s="32" t="s">
        <v>173</v>
      </c>
      <c r="C76" s="32" t="s">
        <v>79</v>
      </c>
      <c r="D76" s="22"/>
      <c r="E76" s="22"/>
      <c r="G76" s="22"/>
      <c r="H76" s="22"/>
      <c r="I76" s="22"/>
      <c r="J76" s="22"/>
      <c r="K76" s="22"/>
      <c r="L76" s="22"/>
      <c r="M76" s="41"/>
      <c r="N76" s="41"/>
      <c r="O76" s="31"/>
      <c r="P76" s="31"/>
      <c r="Q76" s="22"/>
      <c r="R76" s="22"/>
      <c r="S76" s="22"/>
      <c r="T76" s="22"/>
      <c r="U76" s="22"/>
      <c r="V76" s="32" t="s">
        <v>197</v>
      </c>
      <c r="W76" s="22"/>
      <c r="X76" s="22"/>
      <c r="Y76" s="29" t="s">
        <v>72</v>
      </c>
      <c r="Z76" s="22"/>
      <c r="AA76" s="37">
        <v>0.0</v>
      </c>
      <c r="AB76" s="42">
        <v>0.0</v>
      </c>
      <c r="AC76" s="31"/>
      <c r="AD76" s="32" t="s">
        <v>199</v>
      </c>
      <c r="AE76" s="22"/>
      <c r="AF76" s="22"/>
      <c r="AG76" s="40"/>
      <c r="AH76" s="40" t="str">
        <f t="shared" si="1"/>
        <v>RUUD</v>
      </c>
      <c r="AI76" s="39" t="s">
        <v>82</v>
      </c>
      <c r="AJ76" s="22"/>
    </row>
    <row r="77" ht="15.75" customHeight="1">
      <c r="A77" s="32" t="s">
        <v>77</v>
      </c>
      <c r="B77" s="32" t="s">
        <v>173</v>
      </c>
      <c r="C77" s="32" t="s">
        <v>79</v>
      </c>
      <c r="D77" s="22"/>
      <c r="E77" s="22"/>
      <c r="G77" s="22"/>
      <c r="H77" s="22"/>
      <c r="I77" s="22"/>
      <c r="J77" s="22"/>
      <c r="K77" s="22"/>
      <c r="L77" s="22"/>
      <c r="M77" s="41"/>
      <c r="N77" s="41"/>
      <c r="O77" s="31"/>
      <c r="P77" s="31"/>
      <c r="Q77" s="22"/>
      <c r="R77" s="22"/>
      <c r="S77" s="22"/>
      <c r="T77" s="22"/>
      <c r="U77" s="22"/>
      <c r="V77" s="32" t="s">
        <v>197</v>
      </c>
      <c r="W77" s="22"/>
      <c r="X77" s="22"/>
      <c r="Y77" s="29" t="s">
        <v>72</v>
      </c>
      <c r="Z77" s="22"/>
      <c r="AA77" s="37">
        <v>801.44</v>
      </c>
      <c r="AB77" s="42">
        <v>1122.02</v>
      </c>
      <c r="AC77" s="31"/>
      <c r="AD77" s="32" t="s">
        <v>200</v>
      </c>
      <c r="AE77" s="22"/>
      <c r="AF77" s="22"/>
      <c r="AG77" s="40"/>
      <c r="AH77" s="40" t="str">
        <f t="shared" si="1"/>
        <v>RUUD</v>
      </c>
      <c r="AI77" s="39" t="s">
        <v>82</v>
      </c>
      <c r="AJ77" s="22"/>
    </row>
    <row r="78" ht="15.75" customHeight="1">
      <c r="A78" s="32" t="s">
        <v>77</v>
      </c>
      <c r="B78" s="32" t="s">
        <v>173</v>
      </c>
      <c r="C78" s="32" t="s">
        <v>79</v>
      </c>
      <c r="D78" s="22"/>
      <c r="E78" s="22"/>
      <c r="G78" s="22"/>
      <c r="H78" s="22"/>
      <c r="I78" s="22"/>
      <c r="J78" s="22"/>
      <c r="K78" s="22"/>
      <c r="L78" s="22"/>
      <c r="M78" s="41"/>
      <c r="N78" s="41"/>
      <c r="O78" s="31"/>
      <c r="P78" s="31"/>
      <c r="Q78" s="22"/>
      <c r="R78" s="22"/>
      <c r="S78" s="22"/>
      <c r="T78" s="22"/>
      <c r="U78" s="22"/>
      <c r="V78" s="32" t="s">
        <v>201</v>
      </c>
      <c r="W78" s="22"/>
      <c r="X78" s="22"/>
      <c r="Y78" s="29" t="s">
        <v>72</v>
      </c>
      <c r="Z78" s="22"/>
      <c r="AA78" s="37">
        <v>1129.17</v>
      </c>
      <c r="AB78" s="42">
        <v>1580.83</v>
      </c>
      <c r="AC78" s="31"/>
      <c r="AD78" s="32" t="s">
        <v>202</v>
      </c>
      <c r="AE78" s="22"/>
      <c r="AF78" s="22"/>
      <c r="AG78" s="40"/>
      <c r="AH78" s="40" t="str">
        <f t="shared" si="1"/>
        <v>RUUD</v>
      </c>
      <c r="AI78" s="39" t="s">
        <v>82</v>
      </c>
      <c r="AJ78" s="22"/>
    </row>
    <row r="79" ht="15.75" customHeight="1">
      <c r="A79" s="32" t="s">
        <v>77</v>
      </c>
      <c r="B79" s="32" t="s">
        <v>173</v>
      </c>
      <c r="C79" s="32" t="s">
        <v>79</v>
      </c>
      <c r="D79" s="22"/>
      <c r="E79" s="22"/>
      <c r="G79" s="22"/>
      <c r="H79" s="22"/>
      <c r="I79" s="22"/>
      <c r="J79" s="22"/>
      <c r="K79" s="22"/>
      <c r="L79" s="22"/>
      <c r="M79" s="41"/>
      <c r="N79" s="41"/>
      <c r="O79" s="31"/>
      <c r="P79" s="31"/>
      <c r="Q79" s="22"/>
      <c r="R79" s="22"/>
      <c r="S79" s="22"/>
      <c r="T79" s="22"/>
      <c r="U79" s="22"/>
      <c r="V79" s="32" t="s">
        <v>201</v>
      </c>
      <c r="W79" s="22"/>
      <c r="X79" s="22"/>
      <c r="Y79" s="29" t="s">
        <v>72</v>
      </c>
      <c r="Z79" s="22"/>
      <c r="AA79" s="37">
        <v>906.2</v>
      </c>
      <c r="AB79" s="42">
        <v>1268.69</v>
      </c>
      <c r="AC79" s="31"/>
      <c r="AD79" s="32" t="s">
        <v>203</v>
      </c>
      <c r="AE79" s="22"/>
      <c r="AF79" s="22"/>
      <c r="AG79" s="40"/>
      <c r="AH79" s="40" t="str">
        <f t="shared" si="1"/>
        <v>RUUD</v>
      </c>
      <c r="AI79" s="39" t="s">
        <v>82</v>
      </c>
      <c r="AJ79" s="22"/>
    </row>
    <row r="80" ht="15.75" customHeight="1">
      <c r="A80" s="32" t="s">
        <v>77</v>
      </c>
      <c r="B80" s="32" t="s">
        <v>173</v>
      </c>
      <c r="C80" s="32" t="s">
        <v>79</v>
      </c>
      <c r="D80" s="22"/>
      <c r="E80" s="22"/>
      <c r="G80" s="22"/>
      <c r="H80" s="22"/>
      <c r="I80" s="22"/>
      <c r="J80" s="22"/>
      <c r="K80" s="22"/>
      <c r="L80" s="22"/>
      <c r="M80" s="41"/>
      <c r="N80" s="41"/>
      <c r="O80" s="31"/>
      <c r="P80" s="31"/>
      <c r="Q80" s="22"/>
      <c r="R80" s="22"/>
      <c r="S80" s="22"/>
      <c r="T80" s="22"/>
      <c r="U80" s="22"/>
      <c r="V80" s="32" t="s">
        <v>201</v>
      </c>
      <c r="W80" s="22"/>
      <c r="X80" s="22"/>
      <c r="Y80" s="29" t="s">
        <v>72</v>
      </c>
      <c r="Z80" s="22"/>
      <c r="AA80" s="37">
        <v>0.0</v>
      </c>
      <c r="AB80" s="42">
        <v>0.0</v>
      </c>
      <c r="AC80" s="31"/>
      <c r="AD80" s="32" t="s">
        <v>204</v>
      </c>
      <c r="AE80" s="22"/>
      <c r="AF80" s="22"/>
      <c r="AG80" s="40"/>
      <c r="AH80" s="40" t="str">
        <f t="shared" si="1"/>
        <v>RUUD</v>
      </c>
      <c r="AI80" s="39" t="s">
        <v>82</v>
      </c>
      <c r="AJ80" s="22"/>
    </row>
    <row r="81" ht="15.75" customHeight="1">
      <c r="A81" s="32" t="s">
        <v>77</v>
      </c>
      <c r="B81" s="32" t="s">
        <v>173</v>
      </c>
      <c r="C81" s="32" t="s">
        <v>79</v>
      </c>
      <c r="D81" s="22"/>
      <c r="E81" s="22"/>
      <c r="G81" s="22"/>
      <c r="H81" s="22"/>
      <c r="I81" s="22"/>
      <c r="J81" s="22"/>
      <c r="K81" s="22"/>
      <c r="L81" s="22"/>
      <c r="M81" s="41"/>
      <c r="N81" s="41"/>
      <c r="O81" s="31"/>
      <c r="P81" s="31"/>
      <c r="Q81" s="22"/>
      <c r="R81" s="22"/>
      <c r="S81" s="22"/>
      <c r="T81" s="22"/>
      <c r="U81" s="22"/>
      <c r="V81" s="32" t="s">
        <v>205</v>
      </c>
      <c r="W81" s="22"/>
      <c r="X81" s="22"/>
      <c r="Y81" s="29" t="s">
        <v>72</v>
      </c>
      <c r="Z81" s="22"/>
      <c r="AA81" s="37">
        <v>0.0</v>
      </c>
      <c r="AB81" s="42">
        <v>0.0</v>
      </c>
      <c r="AC81" s="31"/>
      <c r="AD81" s="32" t="s">
        <v>206</v>
      </c>
      <c r="AE81" s="22"/>
      <c r="AF81" s="22"/>
      <c r="AG81" s="40"/>
      <c r="AH81" s="40" t="str">
        <f t="shared" si="1"/>
        <v>RUUD</v>
      </c>
      <c r="AI81" s="39" t="s">
        <v>82</v>
      </c>
      <c r="AJ81" s="22"/>
    </row>
    <row r="82" ht="15.75" customHeight="1">
      <c r="A82" s="32" t="s">
        <v>77</v>
      </c>
      <c r="B82" s="32" t="s">
        <v>173</v>
      </c>
      <c r="C82" s="32" t="s">
        <v>79</v>
      </c>
      <c r="D82" s="22"/>
      <c r="E82" s="22"/>
      <c r="G82" s="22"/>
      <c r="H82" s="22"/>
      <c r="I82" s="22"/>
      <c r="J82" s="22"/>
      <c r="K82" s="22"/>
      <c r="L82" s="22"/>
      <c r="M82" s="41"/>
      <c r="N82" s="41"/>
      <c r="O82" s="31"/>
      <c r="P82" s="31"/>
      <c r="Q82" s="22"/>
      <c r="R82" s="22"/>
      <c r="S82" s="22"/>
      <c r="T82" s="22"/>
      <c r="U82" s="22"/>
      <c r="V82" s="32" t="s">
        <v>205</v>
      </c>
      <c r="W82" s="22"/>
      <c r="X82" s="22"/>
      <c r="Y82" s="29" t="s">
        <v>72</v>
      </c>
      <c r="Z82" s="22"/>
      <c r="AA82" s="37">
        <v>1025.0</v>
      </c>
      <c r="AB82" s="42">
        <v>1435.0</v>
      </c>
      <c r="AC82" s="31"/>
      <c r="AD82" s="32" t="s">
        <v>207</v>
      </c>
      <c r="AE82" s="22"/>
      <c r="AF82" s="22"/>
      <c r="AG82" s="40"/>
      <c r="AH82" s="40" t="str">
        <f t="shared" si="1"/>
        <v>RUUD</v>
      </c>
      <c r="AI82" s="39" t="s">
        <v>82</v>
      </c>
      <c r="AJ82" s="22"/>
    </row>
    <row r="83" ht="15.75" customHeight="1">
      <c r="A83" s="32" t="s">
        <v>77</v>
      </c>
      <c r="B83" s="32" t="s">
        <v>173</v>
      </c>
      <c r="C83" s="32" t="s">
        <v>79</v>
      </c>
      <c r="D83" s="22"/>
      <c r="E83" s="22"/>
      <c r="G83" s="22"/>
      <c r="H83" s="22"/>
      <c r="I83" s="22"/>
      <c r="J83" s="22"/>
      <c r="K83" s="22"/>
      <c r="L83" s="22"/>
      <c r="M83" s="41"/>
      <c r="N83" s="41"/>
      <c r="O83" s="31"/>
      <c r="P83" s="31"/>
      <c r="Q83" s="22"/>
      <c r="R83" s="22"/>
      <c r="S83" s="22"/>
      <c r="T83" s="22"/>
      <c r="U83" s="22"/>
      <c r="V83" s="32" t="s">
        <v>208</v>
      </c>
      <c r="W83" s="22"/>
      <c r="X83" s="22"/>
      <c r="Y83" s="29" t="s">
        <v>72</v>
      </c>
      <c r="Z83" s="22"/>
      <c r="AA83" s="37">
        <v>1471.74</v>
      </c>
      <c r="AB83" s="42">
        <v>2060.43</v>
      </c>
      <c r="AC83" s="31"/>
      <c r="AD83" s="32" t="s">
        <v>209</v>
      </c>
      <c r="AE83" s="22"/>
      <c r="AF83" s="22"/>
      <c r="AG83" s="40"/>
      <c r="AH83" s="40" t="str">
        <f t="shared" si="1"/>
        <v>RUUD</v>
      </c>
      <c r="AI83" s="39" t="s">
        <v>82</v>
      </c>
      <c r="AJ83" s="22"/>
    </row>
    <row r="84" ht="15.75" customHeight="1">
      <c r="A84" s="32" t="s">
        <v>77</v>
      </c>
      <c r="B84" s="32" t="s">
        <v>173</v>
      </c>
      <c r="C84" s="32" t="s">
        <v>79</v>
      </c>
      <c r="D84" s="22"/>
      <c r="E84" s="22"/>
      <c r="G84" s="22"/>
      <c r="H84" s="22"/>
      <c r="I84" s="22"/>
      <c r="J84" s="22"/>
      <c r="K84" s="22"/>
      <c r="L84" s="22"/>
      <c r="M84" s="41"/>
      <c r="N84" s="41"/>
      <c r="O84" s="31"/>
      <c r="P84" s="31"/>
      <c r="Q84" s="22"/>
      <c r="R84" s="22"/>
      <c r="S84" s="22"/>
      <c r="T84" s="22"/>
      <c r="U84" s="22"/>
      <c r="V84" s="32" t="s">
        <v>208</v>
      </c>
      <c r="W84" s="22"/>
      <c r="X84" s="22"/>
      <c r="Y84" s="29" t="s">
        <v>72</v>
      </c>
      <c r="Z84" s="22"/>
      <c r="AA84" s="37">
        <v>1107.8</v>
      </c>
      <c r="AB84" s="42">
        <v>1550.91</v>
      </c>
      <c r="AC84" s="31"/>
      <c r="AD84" s="32" t="s">
        <v>210</v>
      </c>
      <c r="AE84" s="22"/>
      <c r="AF84" s="22"/>
      <c r="AG84" s="40"/>
      <c r="AH84" s="40" t="str">
        <f t="shared" si="1"/>
        <v>RUUD</v>
      </c>
      <c r="AI84" s="39" t="s">
        <v>82</v>
      </c>
      <c r="AJ84" s="22"/>
    </row>
    <row r="85" ht="15.75" customHeight="1">
      <c r="A85" s="32" t="s">
        <v>77</v>
      </c>
      <c r="B85" s="32" t="s">
        <v>211</v>
      </c>
      <c r="C85" s="32" t="s">
        <v>79</v>
      </c>
      <c r="D85" s="22"/>
      <c r="E85" s="22"/>
      <c r="G85" s="22"/>
      <c r="H85" s="22"/>
      <c r="I85" s="22"/>
      <c r="J85" s="22"/>
      <c r="K85" s="22"/>
      <c r="L85" s="22"/>
      <c r="M85" s="41"/>
      <c r="N85" s="41"/>
      <c r="O85" s="31"/>
      <c r="P85" s="31"/>
      <c r="Q85" s="22"/>
      <c r="R85" s="22"/>
      <c r="S85" s="22"/>
      <c r="T85" s="22"/>
      <c r="U85" s="22"/>
      <c r="V85" s="32" t="s">
        <v>212</v>
      </c>
      <c r="W85" s="22"/>
      <c r="X85" s="22"/>
      <c r="Y85" s="29" t="s">
        <v>72</v>
      </c>
      <c r="Z85" s="22"/>
      <c r="AA85" s="37">
        <v>1154.76</v>
      </c>
      <c r="AB85" s="42">
        <v>1616.67</v>
      </c>
      <c r="AC85" s="31"/>
      <c r="AD85" s="32" t="s">
        <v>213</v>
      </c>
      <c r="AE85" s="22"/>
      <c r="AF85" s="29" t="s">
        <v>85</v>
      </c>
      <c r="AG85" s="40"/>
      <c r="AH85" s="40" t="str">
        <f t="shared" si="1"/>
        <v>RUUD</v>
      </c>
      <c r="AI85" s="39" t="s">
        <v>82</v>
      </c>
      <c r="AJ85" s="22"/>
    </row>
    <row r="86" ht="15.75" customHeight="1">
      <c r="A86" s="32" t="s">
        <v>77</v>
      </c>
      <c r="B86" s="32" t="s">
        <v>211</v>
      </c>
      <c r="C86" s="32" t="s">
        <v>79</v>
      </c>
      <c r="D86" s="22"/>
      <c r="E86" s="22"/>
      <c r="G86" s="22"/>
      <c r="H86" s="22"/>
      <c r="I86" s="22"/>
      <c r="J86" s="22"/>
      <c r="K86" s="22"/>
      <c r="L86" s="22"/>
      <c r="M86" s="41"/>
      <c r="N86" s="41"/>
      <c r="O86" s="31"/>
      <c r="P86" s="31"/>
      <c r="Q86" s="22"/>
      <c r="R86" s="22"/>
      <c r="S86" s="22"/>
      <c r="T86" s="22"/>
      <c r="U86" s="22"/>
      <c r="V86" s="32" t="s">
        <v>214</v>
      </c>
      <c r="W86" s="22"/>
      <c r="X86" s="22"/>
      <c r="Y86" s="29" t="s">
        <v>72</v>
      </c>
      <c r="Z86" s="22"/>
      <c r="AA86" s="37">
        <v>1206.0</v>
      </c>
      <c r="AB86" s="42">
        <v>1688.41</v>
      </c>
      <c r="AC86" s="31"/>
      <c r="AD86" s="32" t="s">
        <v>215</v>
      </c>
      <c r="AE86" s="22"/>
      <c r="AF86" s="29" t="s">
        <v>85</v>
      </c>
      <c r="AG86" s="40"/>
      <c r="AH86" s="40" t="str">
        <f t="shared" si="1"/>
        <v>RUUD</v>
      </c>
      <c r="AI86" s="39" t="s">
        <v>82</v>
      </c>
      <c r="AJ86" s="22"/>
    </row>
    <row r="87" ht="15.75" customHeight="1">
      <c r="A87" s="32" t="s">
        <v>77</v>
      </c>
      <c r="B87" s="32" t="s">
        <v>211</v>
      </c>
      <c r="C87" s="32" t="s">
        <v>79</v>
      </c>
      <c r="D87" s="22"/>
      <c r="E87" s="22"/>
      <c r="G87" s="22"/>
      <c r="H87" s="22"/>
      <c r="I87" s="22"/>
      <c r="J87" s="22"/>
      <c r="K87" s="22"/>
      <c r="L87" s="22"/>
      <c r="M87" s="41"/>
      <c r="N87" s="41"/>
      <c r="O87" s="31"/>
      <c r="P87" s="31"/>
      <c r="Q87" s="22"/>
      <c r="R87" s="22"/>
      <c r="S87" s="22"/>
      <c r="T87" s="22"/>
      <c r="U87" s="22"/>
      <c r="V87" s="32" t="s">
        <v>216</v>
      </c>
      <c r="W87" s="22"/>
      <c r="X87" s="22"/>
      <c r="Y87" s="29" t="s">
        <v>72</v>
      </c>
      <c r="Z87" s="22"/>
      <c r="AA87" s="37">
        <v>0.0</v>
      </c>
      <c r="AB87" s="42">
        <v>0.0</v>
      </c>
      <c r="AC87" s="31"/>
      <c r="AD87" s="32" t="s">
        <v>217</v>
      </c>
      <c r="AE87" s="22"/>
      <c r="AF87" s="29" t="s">
        <v>85</v>
      </c>
      <c r="AG87" s="40"/>
      <c r="AH87" s="40" t="str">
        <f t="shared" si="1"/>
        <v>RUUD</v>
      </c>
      <c r="AI87" s="39" t="s">
        <v>82</v>
      </c>
      <c r="AJ87" s="22"/>
    </row>
    <row r="88" ht="15.75" customHeight="1">
      <c r="A88" s="32" t="s">
        <v>77</v>
      </c>
      <c r="B88" s="32" t="s">
        <v>211</v>
      </c>
      <c r="C88" s="32" t="s">
        <v>79</v>
      </c>
      <c r="D88" s="22"/>
      <c r="E88" s="22"/>
      <c r="G88" s="22"/>
      <c r="H88" s="22"/>
      <c r="I88" s="22"/>
      <c r="J88" s="22"/>
      <c r="K88" s="22"/>
      <c r="L88" s="22"/>
      <c r="M88" s="41"/>
      <c r="N88" s="41"/>
      <c r="O88" s="31"/>
      <c r="P88" s="31"/>
      <c r="Q88" s="22"/>
      <c r="R88" s="22"/>
      <c r="S88" s="22"/>
      <c r="T88" s="22"/>
      <c r="U88" s="22"/>
      <c r="V88" s="32" t="s">
        <v>216</v>
      </c>
      <c r="W88" s="22"/>
      <c r="X88" s="22"/>
      <c r="Y88" s="29" t="s">
        <v>72</v>
      </c>
      <c r="Z88" s="22"/>
      <c r="AA88" s="37">
        <v>1325.11</v>
      </c>
      <c r="AB88" s="42">
        <v>1855.15</v>
      </c>
      <c r="AC88" s="31"/>
      <c r="AD88" s="32" t="s">
        <v>218</v>
      </c>
      <c r="AE88" s="22"/>
      <c r="AF88" s="29" t="s">
        <v>85</v>
      </c>
      <c r="AG88" s="40"/>
      <c r="AH88" s="40" t="str">
        <f t="shared" si="1"/>
        <v>RUUD</v>
      </c>
      <c r="AI88" s="39" t="s">
        <v>82</v>
      </c>
      <c r="AJ88" s="22"/>
    </row>
    <row r="89" ht="15.75" customHeight="1">
      <c r="A89" s="32" t="s">
        <v>77</v>
      </c>
      <c r="B89" s="32" t="s">
        <v>211</v>
      </c>
      <c r="C89" s="32" t="s">
        <v>79</v>
      </c>
      <c r="D89" s="22"/>
      <c r="E89" s="22"/>
      <c r="G89" s="22"/>
      <c r="H89" s="22"/>
      <c r="I89" s="22"/>
      <c r="J89" s="22"/>
      <c r="K89" s="22"/>
      <c r="L89" s="22"/>
      <c r="M89" s="41"/>
      <c r="N89" s="41"/>
      <c r="O89" s="31"/>
      <c r="P89" s="31"/>
      <c r="Q89" s="22"/>
      <c r="R89" s="22"/>
      <c r="S89" s="22"/>
      <c r="T89" s="22"/>
      <c r="U89" s="22"/>
      <c r="V89" s="32" t="s">
        <v>219</v>
      </c>
      <c r="W89" s="22"/>
      <c r="X89" s="22"/>
      <c r="Y89" s="29" t="s">
        <v>72</v>
      </c>
      <c r="Z89" s="22"/>
      <c r="AA89" s="37">
        <v>1408.19</v>
      </c>
      <c r="AB89" s="42">
        <v>1971.46</v>
      </c>
      <c r="AC89" s="31"/>
      <c r="AD89" s="32" t="s">
        <v>220</v>
      </c>
      <c r="AE89" s="22"/>
      <c r="AF89" s="29" t="s">
        <v>85</v>
      </c>
      <c r="AG89" s="40"/>
      <c r="AH89" s="40" t="str">
        <f t="shared" si="1"/>
        <v>RUUD</v>
      </c>
      <c r="AI89" s="39" t="s">
        <v>82</v>
      </c>
      <c r="AJ89" s="22"/>
    </row>
    <row r="90" ht="15.75" customHeight="1">
      <c r="A90" s="32" t="s">
        <v>77</v>
      </c>
      <c r="B90" s="32" t="s">
        <v>211</v>
      </c>
      <c r="C90" s="32" t="s">
        <v>79</v>
      </c>
      <c r="D90" s="22"/>
      <c r="E90" s="22"/>
      <c r="G90" s="22"/>
      <c r="H90" s="22"/>
      <c r="I90" s="22"/>
      <c r="J90" s="22"/>
      <c r="K90" s="22"/>
      <c r="L90" s="22"/>
      <c r="M90" s="41"/>
      <c r="N90" s="41"/>
      <c r="O90" s="31"/>
      <c r="P90" s="31"/>
      <c r="Q90" s="22"/>
      <c r="R90" s="22"/>
      <c r="S90" s="22"/>
      <c r="T90" s="22"/>
      <c r="U90" s="22"/>
      <c r="V90" s="32" t="s">
        <v>212</v>
      </c>
      <c r="W90" s="22"/>
      <c r="X90" s="22"/>
      <c r="Y90" s="29" t="s">
        <v>72</v>
      </c>
      <c r="Z90" s="22"/>
      <c r="AA90" s="37">
        <v>1118.7</v>
      </c>
      <c r="AB90" s="42">
        <v>1566.18</v>
      </c>
      <c r="AC90" s="31"/>
      <c r="AD90" s="32" t="s">
        <v>221</v>
      </c>
      <c r="AE90" s="22"/>
      <c r="AF90" s="29" t="s">
        <v>85</v>
      </c>
      <c r="AG90" s="40"/>
      <c r="AH90" s="40" t="str">
        <f t="shared" si="1"/>
        <v>RUUD</v>
      </c>
      <c r="AI90" s="39" t="s">
        <v>82</v>
      </c>
      <c r="AJ90" s="22"/>
    </row>
    <row r="91" ht="15.75" customHeight="1">
      <c r="A91" s="32" t="s">
        <v>77</v>
      </c>
      <c r="B91" s="32" t="s">
        <v>211</v>
      </c>
      <c r="C91" s="32" t="s">
        <v>79</v>
      </c>
      <c r="D91" s="22"/>
      <c r="E91" s="22"/>
      <c r="G91" s="22"/>
      <c r="H91" s="22"/>
      <c r="I91" s="22"/>
      <c r="J91" s="22"/>
      <c r="K91" s="22"/>
      <c r="L91" s="22"/>
      <c r="M91" s="41"/>
      <c r="N91" s="41"/>
      <c r="O91" s="31"/>
      <c r="P91" s="31"/>
      <c r="Q91" s="22"/>
      <c r="R91" s="22"/>
      <c r="S91" s="22"/>
      <c r="T91" s="22"/>
      <c r="U91" s="22"/>
      <c r="V91" s="32" t="s">
        <v>214</v>
      </c>
      <c r="W91" s="22"/>
      <c r="X91" s="22"/>
      <c r="Y91" s="29" t="s">
        <v>72</v>
      </c>
      <c r="Z91" s="22"/>
      <c r="AA91" s="37">
        <v>1166.53</v>
      </c>
      <c r="AB91" s="42">
        <v>1633.14</v>
      </c>
      <c r="AC91" s="31"/>
      <c r="AD91" s="32" t="s">
        <v>222</v>
      </c>
      <c r="AE91" s="22"/>
      <c r="AF91" s="29" t="s">
        <v>85</v>
      </c>
      <c r="AG91" s="40"/>
      <c r="AH91" s="40" t="str">
        <f t="shared" si="1"/>
        <v>RUUD</v>
      </c>
      <c r="AI91" s="39" t="s">
        <v>82</v>
      </c>
      <c r="AJ91" s="22"/>
    </row>
    <row r="92" ht="15.75" customHeight="1">
      <c r="A92" s="32" t="s">
        <v>77</v>
      </c>
      <c r="B92" s="32" t="s">
        <v>211</v>
      </c>
      <c r="C92" s="32" t="s">
        <v>79</v>
      </c>
      <c r="D92" s="22"/>
      <c r="E92" s="22"/>
      <c r="G92" s="22"/>
      <c r="H92" s="22"/>
      <c r="I92" s="22"/>
      <c r="J92" s="22"/>
      <c r="K92" s="22"/>
      <c r="L92" s="22"/>
      <c r="M92" s="41"/>
      <c r="N92" s="41"/>
      <c r="O92" s="31"/>
      <c r="P92" s="31"/>
      <c r="Q92" s="22"/>
      <c r="R92" s="22"/>
      <c r="S92" s="22"/>
      <c r="T92" s="22"/>
      <c r="U92" s="22"/>
      <c r="V92" s="32" t="s">
        <v>214</v>
      </c>
      <c r="W92" s="22"/>
      <c r="X92" s="22"/>
      <c r="Y92" s="29" t="s">
        <v>72</v>
      </c>
      <c r="Z92" s="22"/>
      <c r="AA92" s="37">
        <v>1222.25</v>
      </c>
      <c r="AB92" s="42">
        <v>1711.16</v>
      </c>
      <c r="AC92" s="31"/>
      <c r="AD92" s="32" t="s">
        <v>223</v>
      </c>
      <c r="AE92" s="22"/>
      <c r="AF92" s="29" t="s">
        <v>85</v>
      </c>
      <c r="AG92" s="40"/>
      <c r="AH92" s="40" t="str">
        <f t="shared" si="1"/>
        <v>RUUD</v>
      </c>
      <c r="AI92" s="39" t="s">
        <v>82</v>
      </c>
      <c r="AJ92" s="22"/>
    </row>
    <row r="93" ht="15.75" customHeight="1">
      <c r="A93" s="32" t="s">
        <v>77</v>
      </c>
      <c r="B93" s="32" t="s">
        <v>211</v>
      </c>
      <c r="C93" s="32" t="s">
        <v>79</v>
      </c>
      <c r="D93" s="22"/>
      <c r="E93" s="22"/>
      <c r="G93" s="22"/>
      <c r="H93" s="22"/>
      <c r="I93" s="22"/>
      <c r="J93" s="22"/>
      <c r="K93" s="22"/>
      <c r="L93" s="22"/>
      <c r="M93" s="41"/>
      <c r="N93" s="41"/>
      <c r="O93" s="31"/>
      <c r="P93" s="31"/>
      <c r="Q93" s="22"/>
      <c r="R93" s="22"/>
      <c r="S93" s="22"/>
      <c r="T93" s="22"/>
      <c r="U93" s="22"/>
      <c r="V93" s="32" t="s">
        <v>216</v>
      </c>
      <c r="W93" s="22"/>
      <c r="X93" s="22"/>
      <c r="Y93" s="29" t="s">
        <v>72</v>
      </c>
      <c r="Z93" s="22"/>
      <c r="AA93" s="37">
        <v>0.0</v>
      </c>
      <c r="AB93" s="42">
        <v>0.0</v>
      </c>
      <c r="AC93" s="31"/>
      <c r="AD93" s="32" t="s">
        <v>224</v>
      </c>
      <c r="AE93" s="22"/>
      <c r="AF93" s="29" t="s">
        <v>85</v>
      </c>
      <c r="AG93" s="40"/>
      <c r="AH93" s="40" t="str">
        <f t="shared" si="1"/>
        <v>RUUD</v>
      </c>
      <c r="AI93" s="39" t="s">
        <v>82</v>
      </c>
      <c r="AJ93" s="22"/>
    </row>
    <row r="94" ht="15.75" customHeight="1">
      <c r="A94" s="32" t="s">
        <v>77</v>
      </c>
      <c r="B94" s="32" t="s">
        <v>211</v>
      </c>
      <c r="C94" s="32" t="s">
        <v>79</v>
      </c>
      <c r="D94" s="22"/>
      <c r="E94" s="22"/>
      <c r="G94" s="22"/>
      <c r="H94" s="22"/>
      <c r="I94" s="22"/>
      <c r="J94" s="22"/>
      <c r="K94" s="22"/>
      <c r="L94" s="22"/>
      <c r="M94" s="41"/>
      <c r="N94" s="41"/>
      <c r="O94" s="31"/>
      <c r="P94" s="31"/>
      <c r="Q94" s="22"/>
      <c r="R94" s="22"/>
      <c r="S94" s="22"/>
      <c r="T94" s="22"/>
      <c r="U94" s="22"/>
      <c r="V94" s="32" t="s">
        <v>216</v>
      </c>
      <c r="W94" s="22"/>
      <c r="X94" s="22"/>
      <c r="Y94" s="29" t="s">
        <v>72</v>
      </c>
      <c r="Z94" s="22"/>
      <c r="AA94" s="37">
        <v>1232.05</v>
      </c>
      <c r="AB94" s="42">
        <v>1724.87</v>
      </c>
      <c r="AC94" s="31"/>
      <c r="AD94" s="32" t="s">
        <v>225</v>
      </c>
      <c r="AE94" s="22"/>
      <c r="AF94" s="29" t="s">
        <v>85</v>
      </c>
      <c r="AG94" s="40"/>
      <c r="AH94" s="40" t="str">
        <f t="shared" si="1"/>
        <v>RUUD</v>
      </c>
      <c r="AI94" s="39" t="s">
        <v>82</v>
      </c>
      <c r="AJ94" s="22"/>
    </row>
    <row r="95" ht="15.75" customHeight="1">
      <c r="A95" s="32" t="s">
        <v>77</v>
      </c>
      <c r="B95" s="32" t="s">
        <v>211</v>
      </c>
      <c r="C95" s="32" t="s">
        <v>79</v>
      </c>
      <c r="D95" s="22"/>
      <c r="E95" s="22"/>
      <c r="G95" s="22"/>
      <c r="H95" s="22"/>
      <c r="I95" s="22"/>
      <c r="J95" s="22"/>
      <c r="K95" s="22"/>
      <c r="L95" s="22"/>
      <c r="M95" s="41"/>
      <c r="N95" s="41"/>
      <c r="O95" s="31"/>
      <c r="P95" s="31"/>
      <c r="Q95" s="22"/>
      <c r="R95" s="22"/>
      <c r="S95" s="22"/>
      <c r="T95" s="22"/>
      <c r="U95" s="22"/>
      <c r="V95" s="32" t="s">
        <v>219</v>
      </c>
      <c r="W95" s="22"/>
      <c r="X95" s="22"/>
      <c r="Y95" s="29" t="s">
        <v>72</v>
      </c>
      <c r="Z95" s="22"/>
      <c r="AA95" s="37">
        <v>1327.65</v>
      </c>
      <c r="AB95" s="42">
        <v>1858.71</v>
      </c>
      <c r="AC95" s="31"/>
      <c r="AD95" s="32" t="s">
        <v>226</v>
      </c>
      <c r="AE95" s="22"/>
      <c r="AF95" s="29" t="s">
        <v>85</v>
      </c>
      <c r="AG95" s="40"/>
      <c r="AH95" s="40" t="str">
        <f t="shared" si="1"/>
        <v>RUUD</v>
      </c>
      <c r="AI95" s="39" t="s">
        <v>82</v>
      </c>
      <c r="AJ95" s="22"/>
    </row>
    <row r="96" ht="15.75" customHeight="1">
      <c r="A96" s="32" t="s">
        <v>77</v>
      </c>
      <c r="B96" s="32" t="s">
        <v>211</v>
      </c>
      <c r="C96" s="32" t="s">
        <v>79</v>
      </c>
      <c r="D96" s="22"/>
      <c r="E96" s="22"/>
      <c r="G96" s="22"/>
      <c r="H96" s="22"/>
      <c r="I96" s="22"/>
      <c r="J96" s="22"/>
      <c r="K96" s="22"/>
      <c r="L96" s="22"/>
      <c r="M96" s="41"/>
      <c r="N96" s="41"/>
      <c r="O96" s="31"/>
      <c r="P96" s="41"/>
      <c r="Q96" s="22"/>
      <c r="R96" s="22"/>
      <c r="S96" s="22"/>
      <c r="T96" s="22"/>
      <c r="U96" s="22"/>
      <c r="V96" s="32" t="s">
        <v>212</v>
      </c>
      <c r="W96" s="22"/>
      <c r="X96" s="22"/>
      <c r="Y96" s="29" t="s">
        <v>72</v>
      </c>
      <c r="Z96" s="22"/>
      <c r="AA96" s="37">
        <v>2073.54</v>
      </c>
      <c r="AB96" s="42">
        <v>2902.96</v>
      </c>
      <c r="AC96" s="31"/>
      <c r="AD96" s="32" t="s">
        <v>227</v>
      </c>
      <c r="AE96" s="22"/>
      <c r="AF96" s="29" t="s">
        <v>85</v>
      </c>
      <c r="AG96" s="40"/>
      <c r="AH96" s="40" t="str">
        <f t="shared" si="1"/>
        <v>RUUD</v>
      </c>
      <c r="AI96" s="39" t="s">
        <v>82</v>
      </c>
      <c r="AJ96" s="22"/>
    </row>
    <row r="97" ht="15.75" customHeight="1">
      <c r="A97" s="32" t="s">
        <v>77</v>
      </c>
      <c r="B97" s="32" t="s">
        <v>211</v>
      </c>
      <c r="C97" s="32" t="s">
        <v>79</v>
      </c>
      <c r="D97" s="22"/>
      <c r="E97" s="22"/>
      <c r="G97" s="22"/>
      <c r="H97" s="22"/>
      <c r="I97" s="22"/>
      <c r="J97" s="22"/>
      <c r="K97" s="22"/>
      <c r="L97" s="22"/>
      <c r="M97" s="41"/>
      <c r="N97" s="41"/>
      <c r="O97" s="31"/>
      <c r="P97" s="31"/>
      <c r="Q97" s="22"/>
      <c r="R97" s="22"/>
      <c r="S97" s="22"/>
      <c r="T97" s="22"/>
      <c r="U97" s="22"/>
      <c r="V97" s="32" t="s">
        <v>214</v>
      </c>
      <c r="W97" s="22"/>
      <c r="X97" s="22"/>
      <c r="Y97" s="29" t="s">
        <v>72</v>
      </c>
      <c r="Z97" s="22"/>
      <c r="AA97" s="37">
        <v>2087.24</v>
      </c>
      <c r="AB97" s="42">
        <v>2922.13</v>
      </c>
      <c r="AC97" s="31"/>
      <c r="AD97" s="32" t="s">
        <v>228</v>
      </c>
      <c r="AE97" s="22"/>
      <c r="AF97" s="29" t="s">
        <v>85</v>
      </c>
      <c r="AG97" s="40"/>
      <c r="AH97" s="40" t="str">
        <f t="shared" si="1"/>
        <v>RUUD</v>
      </c>
      <c r="AI97" s="39" t="s">
        <v>82</v>
      </c>
      <c r="AJ97" s="22"/>
    </row>
    <row r="98" ht="15.75" customHeight="1">
      <c r="A98" s="32" t="s">
        <v>77</v>
      </c>
      <c r="B98" s="32" t="s">
        <v>211</v>
      </c>
      <c r="C98" s="32" t="s">
        <v>79</v>
      </c>
      <c r="D98" s="22"/>
      <c r="E98" s="22"/>
      <c r="G98" s="22"/>
      <c r="H98" s="22"/>
      <c r="I98" s="22"/>
      <c r="J98" s="22"/>
      <c r="K98" s="22"/>
      <c r="L98" s="22"/>
      <c r="M98" s="41"/>
      <c r="N98" s="41"/>
      <c r="O98" s="31"/>
      <c r="P98" s="31"/>
      <c r="Q98" s="22"/>
      <c r="R98" s="22"/>
      <c r="S98" s="22"/>
      <c r="T98" s="22"/>
      <c r="U98" s="22"/>
      <c r="V98" s="32" t="s">
        <v>216</v>
      </c>
      <c r="W98" s="22"/>
      <c r="X98" s="22"/>
      <c r="Y98" s="29" t="s">
        <v>72</v>
      </c>
      <c r="Z98" s="22"/>
      <c r="AA98" s="37">
        <v>2274.98</v>
      </c>
      <c r="AB98" s="42">
        <v>3184.98</v>
      </c>
      <c r="AC98" s="31"/>
      <c r="AD98" s="32" t="s">
        <v>229</v>
      </c>
      <c r="AE98" s="22"/>
      <c r="AF98" s="29" t="s">
        <v>85</v>
      </c>
      <c r="AG98" s="40"/>
      <c r="AH98" s="40" t="str">
        <f t="shared" si="1"/>
        <v>RUUD</v>
      </c>
      <c r="AI98" s="39" t="s">
        <v>82</v>
      </c>
      <c r="AJ98" s="22"/>
    </row>
    <row r="99" ht="15.75" customHeight="1">
      <c r="A99" s="32" t="s">
        <v>77</v>
      </c>
      <c r="B99" s="32" t="s">
        <v>211</v>
      </c>
      <c r="C99" s="32" t="s">
        <v>79</v>
      </c>
      <c r="D99" s="22"/>
      <c r="E99" s="22"/>
      <c r="G99" s="22"/>
      <c r="H99" s="22"/>
      <c r="I99" s="22"/>
      <c r="J99" s="22"/>
      <c r="K99" s="22"/>
      <c r="L99" s="22"/>
      <c r="M99" s="41"/>
      <c r="N99" s="41"/>
      <c r="O99" s="31"/>
      <c r="P99" s="31"/>
      <c r="Q99" s="22"/>
      <c r="R99" s="22"/>
      <c r="S99" s="22"/>
      <c r="T99" s="22"/>
      <c r="U99" s="22"/>
      <c r="V99" s="32" t="s">
        <v>219</v>
      </c>
      <c r="W99" s="22"/>
      <c r="X99" s="22"/>
      <c r="Y99" s="29" t="s">
        <v>72</v>
      </c>
      <c r="Z99" s="22"/>
      <c r="AA99" s="37">
        <v>2466.04</v>
      </c>
      <c r="AB99" s="42">
        <v>3452.45</v>
      </c>
      <c r="AC99" s="31"/>
      <c r="AD99" s="32" t="s">
        <v>230</v>
      </c>
      <c r="AE99" s="22"/>
      <c r="AF99" s="29" t="s">
        <v>85</v>
      </c>
      <c r="AG99" s="40"/>
      <c r="AH99" s="40" t="str">
        <f t="shared" si="1"/>
        <v>RUUD</v>
      </c>
      <c r="AI99" s="39" t="s">
        <v>82</v>
      </c>
      <c r="AJ99" s="22"/>
    </row>
    <row r="100" ht="15.75" customHeight="1">
      <c r="A100" s="32" t="s">
        <v>77</v>
      </c>
      <c r="B100" s="32" t="s">
        <v>211</v>
      </c>
      <c r="C100" s="32" t="s">
        <v>79</v>
      </c>
      <c r="D100" s="22"/>
      <c r="E100" s="22"/>
      <c r="G100" s="22"/>
      <c r="H100" s="22"/>
      <c r="I100" s="22"/>
      <c r="J100" s="22"/>
      <c r="K100" s="22"/>
      <c r="L100" s="22"/>
      <c r="M100" s="41"/>
      <c r="N100" s="41"/>
      <c r="O100" s="31"/>
      <c r="P100" s="31"/>
      <c r="Q100" s="22"/>
      <c r="R100" s="22"/>
      <c r="S100" s="22"/>
      <c r="T100" s="22"/>
      <c r="U100" s="22"/>
      <c r="V100" s="32" t="s">
        <v>214</v>
      </c>
      <c r="W100" s="22"/>
      <c r="X100" s="22"/>
      <c r="Y100" s="29" t="s">
        <v>72</v>
      </c>
      <c r="Z100" s="22"/>
      <c r="AA100" s="37">
        <v>1931.66</v>
      </c>
      <c r="AB100" s="42">
        <v>2704.32</v>
      </c>
      <c r="AC100" s="31"/>
      <c r="AD100" s="32" t="s">
        <v>231</v>
      </c>
      <c r="AE100" s="22"/>
      <c r="AF100" s="29" t="s">
        <v>85</v>
      </c>
      <c r="AG100" s="40"/>
      <c r="AH100" s="40" t="str">
        <f t="shared" si="1"/>
        <v>RUUD</v>
      </c>
      <c r="AI100" s="39" t="s">
        <v>82</v>
      </c>
      <c r="AJ100" s="22"/>
    </row>
    <row r="101" ht="15.75" customHeight="1">
      <c r="A101" s="32" t="s">
        <v>77</v>
      </c>
      <c r="B101" s="32" t="s">
        <v>211</v>
      </c>
      <c r="C101" s="32" t="s">
        <v>79</v>
      </c>
      <c r="D101" s="22"/>
      <c r="E101" s="22"/>
      <c r="G101" s="22"/>
      <c r="H101" s="22"/>
      <c r="I101" s="22"/>
      <c r="J101" s="22"/>
      <c r="K101" s="22"/>
      <c r="L101" s="22"/>
      <c r="M101" s="41"/>
      <c r="N101" s="41"/>
      <c r="O101" s="31"/>
      <c r="P101" s="31"/>
      <c r="Q101" s="22"/>
      <c r="R101" s="22"/>
      <c r="S101" s="22"/>
      <c r="T101" s="22"/>
      <c r="U101" s="22"/>
      <c r="V101" s="32" t="s">
        <v>216</v>
      </c>
      <c r="W101" s="22"/>
      <c r="X101" s="22"/>
      <c r="Y101" s="29" t="s">
        <v>72</v>
      </c>
      <c r="Z101" s="22"/>
      <c r="AA101" s="37">
        <v>2055.15</v>
      </c>
      <c r="AB101" s="42">
        <v>2877.21</v>
      </c>
      <c r="AC101" s="31"/>
      <c r="AD101" s="32" t="s">
        <v>232</v>
      </c>
      <c r="AE101" s="22"/>
      <c r="AF101" s="29" t="s">
        <v>85</v>
      </c>
      <c r="AG101" s="40"/>
      <c r="AH101" s="40" t="str">
        <f t="shared" si="1"/>
        <v>RUUD</v>
      </c>
      <c r="AI101" s="39" t="s">
        <v>82</v>
      </c>
      <c r="AJ101" s="22"/>
    </row>
    <row r="102" ht="15.75" customHeight="1">
      <c r="A102" s="32" t="s">
        <v>77</v>
      </c>
      <c r="B102" s="32" t="s">
        <v>211</v>
      </c>
      <c r="C102" s="32" t="s">
        <v>79</v>
      </c>
      <c r="D102" s="22"/>
      <c r="E102" s="22"/>
      <c r="G102" s="22"/>
      <c r="H102" s="22"/>
      <c r="I102" s="22"/>
      <c r="J102" s="22"/>
      <c r="K102" s="22"/>
      <c r="L102" s="22"/>
      <c r="M102" s="41"/>
      <c r="N102" s="41"/>
      <c r="O102" s="31"/>
      <c r="P102" s="31"/>
      <c r="Q102" s="22"/>
      <c r="R102" s="22"/>
      <c r="S102" s="22"/>
      <c r="T102" s="22"/>
      <c r="U102" s="22"/>
      <c r="V102" s="32" t="s">
        <v>219</v>
      </c>
      <c r="W102" s="22"/>
      <c r="X102" s="22"/>
      <c r="Y102" s="29" t="s">
        <v>72</v>
      </c>
      <c r="Z102" s="22"/>
      <c r="AA102" s="37">
        <v>2223.45</v>
      </c>
      <c r="AB102" s="42">
        <v>3112.82</v>
      </c>
      <c r="AC102" s="31"/>
      <c r="AD102" s="32" t="s">
        <v>233</v>
      </c>
      <c r="AE102" s="22"/>
      <c r="AF102" s="29" t="s">
        <v>85</v>
      </c>
      <c r="AG102" s="40"/>
      <c r="AH102" s="40" t="str">
        <f t="shared" si="1"/>
        <v>RUUD</v>
      </c>
      <c r="AI102" s="39" t="s">
        <v>82</v>
      </c>
      <c r="AJ102" s="22"/>
    </row>
    <row r="103" ht="15.75" customHeight="1">
      <c r="A103" s="32" t="s">
        <v>77</v>
      </c>
      <c r="B103" s="32" t="s">
        <v>211</v>
      </c>
      <c r="C103" s="32" t="s">
        <v>79</v>
      </c>
      <c r="D103" s="22"/>
      <c r="E103" s="22"/>
      <c r="G103" s="22"/>
      <c r="H103" s="22"/>
      <c r="I103" s="22"/>
      <c r="J103" s="22"/>
      <c r="K103" s="22"/>
      <c r="L103" s="22"/>
      <c r="M103" s="41"/>
      <c r="N103" s="41"/>
      <c r="O103" s="31"/>
      <c r="P103" s="31"/>
      <c r="Q103" s="22"/>
      <c r="R103" s="22"/>
      <c r="S103" s="22"/>
      <c r="T103" s="22"/>
      <c r="U103" s="22"/>
      <c r="V103" s="32" t="s">
        <v>234</v>
      </c>
      <c r="W103" s="22"/>
      <c r="X103" s="22"/>
      <c r="Y103" s="29" t="s">
        <v>72</v>
      </c>
      <c r="Z103" s="22"/>
      <c r="AA103" s="37">
        <v>2335.78</v>
      </c>
      <c r="AB103" s="42">
        <v>3270.1</v>
      </c>
      <c r="AC103" s="31"/>
      <c r="AD103" s="32" t="s">
        <v>235</v>
      </c>
      <c r="AE103" s="22"/>
      <c r="AF103" s="29" t="s">
        <v>85</v>
      </c>
      <c r="AG103" s="40"/>
      <c r="AH103" s="40" t="str">
        <f t="shared" si="1"/>
        <v>RUUD</v>
      </c>
      <c r="AI103" s="39" t="s">
        <v>82</v>
      </c>
      <c r="AJ103" s="22"/>
    </row>
    <row r="104" ht="15.75" customHeight="1">
      <c r="A104" s="32" t="s">
        <v>77</v>
      </c>
      <c r="B104" s="32" t="s">
        <v>211</v>
      </c>
      <c r="C104" s="32" t="s">
        <v>79</v>
      </c>
      <c r="D104" s="22"/>
      <c r="E104" s="22"/>
      <c r="G104" s="22"/>
      <c r="H104" s="22"/>
      <c r="I104" s="22"/>
      <c r="J104" s="22"/>
      <c r="K104" s="22"/>
      <c r="L104" s="22"/>
      <c r="M104" s="41"/>
      <c r="N104" s="41"/>
      <c r="O104" s="31"/>
      <c r="P104" s="31"/>
      <c r="Q104" s="22"/>
      <c r="R104" s="22"/>
      <c r="S104" s="22"/>
      <c r="T104" s="22"/>
      <c r="U104" s="22"/>
      <c r="V104" s="32" t="s">
        <v>236</v>
      </c>
      <c r="W104" s="22"/>
      <c r="X104" s="22"/>
      <c r="Y104" s="29" t="s">
        <v>72</v>
      </c>
      <c r="Z104" s="22"/>
      <c r="AA104" s="37">
        <v>1713.0</v>
      </c>
      <c r="AB104" s="42">
        <v>2398.2</v>
      </c>
      <c r="AC104" s="31"/>
      <c r="AD104" s="32" t="s">
        <v>237</v>
      </c>
      <c r="AE104" s="22"/>
      <c r="AF104" s="29" t="s">
        <v>85</v>
      </c>
      <c r="AG104" s="40"/>
      <c r="AH104" s="40" t="str">
        <f t="shared" si="1"/>
        <v>RUUD</v>
      </c>
      <c r="AI104" s="39" t="s">
        <v>82</v>
      </c>
      <c r="AJ104" s="22"/>
    </row>
    <row r="105" ht="15.75" customHeight="1">
      <c r="A105" s="32" t="s">
        <v>77</v>
      </c>
      <c r="B105" s="32" t="s">
        <v>211</v>
      </c>
      <c r="C105" s="32" t="s">
        <v>79</v>
      </c>
      <c r="D105" s="22"/>
      <c r="E105" s="22"/>
      <c r="G105" s="22"/>
      <c r="H105" s="22"/>
      <c r="I105" s="22"/>
      <c r="J105" s="22"/>
      <c r="K105" s="22"/>
      <c r="L105" s="22"/>
      <c r="M105" s="41"/>
      <c r="N105" s="41"/>
      <c r="O105" s="31"/>
      <c r="P105" s="31"/>
      <c r="Q105" s="22"/>
      <c r="R105" s="22"/>
      <c r="S105" s="22"/>
      <c r="T105" s="22"/>
      <c r="U105" s="22"/>
      <c r="V105" s="32" t="s">
        <v>238</v>
      </c>
      <c r="W105" s="22"/>
      <c r="X105" s="22"/>
      <c r="Y105" s="29" t="s">
        <v>72</v>
      </c>
      <c r="Z105" s="22"/>
      <c r="AA105" s="37">
        <v>1807.91</v>
      </c>
      <c r="AB105" s="42">
        <v>2531.08</v>
      </c>
      <c r="AC105" s="31"/>
      <c r="AD105" s="32" t="s">
        <v>239</v>
      </c>
      <c r="AE105" s="22"/>
      <c r="AF105" s="29" t="s">
        <v>85</v>
      </c>
      <c r="AG105" s="40"/>
      <c r="AH105" s="40" t="str">
        <f t="shared" si="1"/>
        <v>RUUD</v>
      </c>
      <c r="AI105" s="39" t="s">
        <v>82</v>
      </c>
      <c r="AJ105" s="22"/>
    </row>
    <row r="106" ht="15.75" customHeight="1">
      <c r="A106" s="32" t="s">
        <v>77</v>
      </c>
      <c r="B106" s="32" t="s">
        <v>211</v>
      </c>
      <c r="C106" s="32" t="s">
        <v>79</v>
      </c>
      <c r="D106" s="22"/>
      <c r="E106" s="22"/>
      <c r="G106" s="22"/>
      <c r="H106" s="22"/>
      <c r="I106" s="22"/>
      <c r="J106" s="22"/>
      <c r="K106" s="22"/>
      <c r="L106" s="22"/>
      <c r="M106" s="41"/>
      <c r="N106" s="41"/>
      <c r="O106" s="31"/>
      <c r="P106" s="31"/>
      <c r="Q106" s="22"/>
      <c r="R106" s="22"/>
      <c r="S106" s="22"/>
      <c r="T106" s="22"/>
      <c r="U106" s="22"/>
      <c r="V106" s="32" t="s">
        <v>240</v>
      </c>
      <c r="W106" s="22"/>
      <c r="X106" s="22"/>
      <c r="Y106" s="29" t="s">
        <v>72</v>
      </c>
      <c r="Z106" s="22"/>
      <c r="AA106" s="37">
        <v>1824.42</v>
      </c>
      <c r="AB106" s="42">
        <v>2554.19</v>
      </c>
      <c r="AC106" s="31"/>
      <c r="AD106" s="32" t="s">
        <v>241</v>
      </c>
      <c r="AE106" s="22"/>
      <c r="AF106" s="29" t="s">
        <v>85</v>
      </c>
      <c r="AG106" s="40"/>
      <c r="AH106" s="40" t="str">
        <f t="shared" si="1"/>
        <v>RUUD</v>
      </c>
      <c r="AI106" s="39" t="s">
        <v>82</v>
      </c>
      <c r="AJ106" s="22"/>
    </row>
    <row r="107" ht="15.75" customHeight="1">
      <c r="A107" s="32" t="s">
        <v>77</v>
      </c>
      <c r="B107" s="32" t="s">
        <v>211</v>
      </c>
      <c r="C107" s="32" t="s">
        <v>79</v>
      </c>
      <c r="D107" s="22"/>
      <c r="E107" s="22"/>
      <c r="G107" s="22"/>
      <c r="H107" s="22"/>
      <c r="I107" s="22"/>
      <c r="J107" s="22"/>
      <c r="K107" s="22"/>
      <c r="L107" s="22"/>
      <c r="M107" s="41"/>
      <c r="N107" s="41"/>
      <c r="O107" s="31"/>
      <c r="P107" s="31"/>
      <c r="Q107" s="22"/>
      <c r="R107" s="22"/>
      <c r="S107" s="22"/>
      <c r="T107" s="22"/>
      <c r="U107" s="22"/>
      <c r="V107" s="32" t="s">
        <v>242</v>
      </c>
      <c r="W107" s="22"/>
      <c r="X107" s="22"/>
      <c r="Y107" s="29" t="s">
        <v>72</v>
      </c>
      <c r="Z107" s="22"/>
      <c r="AA107" s="37">
        <v>1992.67</v>
      </c>
      <c r="AB107" s="42">
        <v>2789.74</v>
      </c>
      <c r="AC107" s="31"/>
      <c r="AD107" s="32" t="s">
        <v>243</v>
      </c>
      <c r="AE107" s="22"/>
      <c r="AF107" s="29" t="s">
        <v>85</v>
      </c>
      <c r="AG107" s="40"/>
      <c r="AH107" s="40" t="str">
        <f t="shared" si="1"/>
        <v>RUUD</v>
      </c>
      <c r="AI107" s="39" t="s">
        <v>82</v>
      </c>
      <c r="AJ107" s="22"/>
    </row>
    <row r="108" ht="15.75" customHeight="1">
      <c r="A108" s="32" t="s">
        <v>77</v>
      </c>
      <c r="B108" s="32" t="s">
        <v>211</v>
      </c>
      <c r="C108" s="32" t="s">
        <v>79</v>
      </c>
      <c r="D108" s="22"/>
      <c r="E108" s="22"/>
      <c r="G108" s="22"/>
      <c r="H108" s="22"/>
      <c r="I108" s="22"/>
      <c r="J108" s="22"/>
      <c r="K108" s="22"/>
      <c r="L108" s="22"/>
      <c r="M108" s="41"/>
      <c r="N108" s="41"/>
      <c r="O108" s="31"/>
      <c r="P108" s="31"/>
      <c r="Q108" s="22"/>
      <c r="R108" s="22"/>
      <c r="S108" s="22"/>
      <c r="T108" s="22"/>
      <c r="U108" s="22"/>
      <c r="V108" s="32" t="s">
        <v>244</v>
      </c>
      <c r="W108" s="22"/>
      <c r="X108" s="22"/>
      <c r="Y108" s="29" t="s">
        <v>72</v>
      </c>
      <c r="Z108" s="22"/>
      <c r="AA108" s="37">
        <v>2135.02</v>
      </c>
      <c r="AB108" s="42">
        <v>2989.03</v>
      </c>
      <c r="AC108" s="31"/>
      <c r="AD108" s="32" t="s">
        <v>245</v>
      </c>
      <c r="AE108" s="22"/>
      <c r="AF108" s="29" t="s">
        <v>85</v>
      </c>
      <c r="AG108" s="40"/>
      <c r="AH108" s="40" t="str">
        <f t="shared" si="1"/>
        <v>RUUD</v>
      </c>
      <c r="AI108" s="39" t="s">
        <v>82</v>
      </c>
      <c r="AJ108" s="22"/>
    </row>
    <row r="109" ht="15.75" customHeight="1">
      <c r="A109" s="32" t="s">
        <v>77</v>
      </c>
      <c r="B109" s="32" t="s">
        <v>211</v>
      </c>
      <c r="C109" s="32" t="s">
        <v>79</v>
      </c>
      <c r="D109" s="22"/>
      <c r="E109" s="22"/>
      <c r="G109" s="22"/>
      <c r="H109" s="22"/>
      <c r="I109" s="22"/>
      <c r="J109" s="22"/>
      <c r="K109" s="22"/>
      <c r="L109" s="22"/>
      <c r="M109" s="41"/>
      <c r="N109" s="41"/>
      <c r="O109" s="31"/>
      <c r="P109" s="31"/>
      <c r="Q109" s="22"/>
      <c r="R109" s="22"/>
      <c r="S109" s="22"/>
      <c r="T109" s="22"/>
      <c r="U109" s="22"/>
      <c r="V109" s="32" t="s">
        <v>246</v>
      </c>
      <c r="W109" s="22"/>
      <c r="X109" s="22"/>
      <c r="Y109" s="29" t="s">
        <v>72</v>
      </c>
      <c r="Z109" s="22"/>
      <c r="AA109" s="37">
        <v>2322.17</v>
      </c>
      <c r="AB109" s="42">
        <v>3251.04</v>
      </c>
      <c r="AC109" s="31"/>
      <c r="AD109" s="32" t="s">
        <v>247</v>
      </c>
      <c r="AE109" s="22"/>
      <c r="AF109" s="29" t="s">
        <v>85</v>
      </c>
      <c r="AG109" s="40"/>
      <c r="AH109" s="40" t="str">
        <f t="shared" si="1"/>
        <v>RUUD</v>
      </c>
      <c r="AI109" s="39" t="s">
        <v>82</v>
      </c>
      <c r="AJ109" s="22"/>
    </row>
    <row r="110" ht="15.75" customHeight="1">
      <c r="A110" s="32" t="s">
        <v>77</v>
      </c>
      <c r="B110" s="32" t="s">
        <v>211</v>
      </c>
      <c r="C110" s="32" t="s">
        <v>79</v>
      </c>
      <c r="D110" s="22"/>
      <c r="E110" s="22"/>
      <c r="G110" s="22"/>
      <c r="H110" s="22"/>
      <c r="I110" s="22"/>
      <c r="J110" s="22"/>
      <c r="K110" s="22"/>
      <c r="L110" s="22"/>
      <c r="M110" s="41"/>
      <c r="N110" s="41"/>
      <c r="O110" s="31"/>
      <c r="P110" s="31"/>
      <c r="Q110" s="22"/>
      <c r="R110" s="22"/>
      <c r="S110" s="22"/>
      <c r="T110" s="22"/>
      <c r="U110" s="22"/>
      <c r="V110" s="32" t="s">
        <v>248</v>
      </c>
      <c r="W110" s="22"/>
      <c r="X110" s="22"/>
      <c r="Y110" s="29" t="s">
        <v>72</v>
      </c>
      <c r="Z110" s="22"/>
      <c r="AA110" s="37">
        <v>2060.69</v>
      </c>
      <c r="AB110" s="42">
        <v>2884.97</v>
      </c>
      <c r="AC110" s="31"/>
      <c r="AD110" s="32" t="s">
        <v>249</v>
      </c>
      <c r="AE110" s="22"/>
      <c r="AF110" s="29" t="s">
        <v>85</v>
      </c>
      <c r="AG110" s="40"/>
      <c r="AH110" s="40" t="str">
        <f t="shared" si="1"/>
        <v>RUUD</v>
      </c>
      <c r="AI110" s="39" t="s">
        <v>82</v>
      </c>
      <c r="AJ110" s="22"/>
    </row>
    <row r="111" ht="15.75" customHeight="1">
      <c r="A111" s="32" t="s">
        <v>77</v>
      </c>
      <c r="B111" s="32" t="s">
        <v>211</v>
      </c>
      <c r="C111" s="32" t="s">
        <v>79</v>
      </c>
      <c r="D111" s="22"/>
      <c r="E111" s="22"/>
      <c r="G111" s="22"/>
      <c r="H111" s="22"/>
      <c r="I111" s="22"/>
      <c r="J111" s="22"/>
      <c r="K111" s="22"/>
      <c r="L111" s="22"/>
      <c r="M111" s="41"/>
      <c r="N111" s="41"/>
      <c r="O111" s="31"/>
      <c r="P111" s="31"/>
      <c r="Q111" s="22"/>
      <c r="R111" s="22"/>
      <c r="S111" s="22"/>
      <c r="T111" s="22"/>
      <c r="U111" s="22"/>
      <c r="V111" s="32" t="s">
        <v>250</v>
      </c>
      <c r="W111" s="22"/>
      <c r="X111" s="22"/>
      <c r="Y111" s="29" t="s">
        <v>72</v>
      </c>
      <c r="Z111" s="22"/>
      <c r="AA111" s="37">
        <v>2177.66</v>
      </c>
      <c r="AB111" s="42">
        <v>3048.73</v>
      </c>
      <c r="AC111" s="31"/>
      <c r="AD111" s="32" t="s">
        <v>251</v>
      </c>
      <c r="AE111" s="22"/>
      <c r="AF111" s="29" t="s">
        <v>85</v>
      </c>
      <c r="AG111" s="40"/>
      <c r="AH111" s="40" t="str">
        <f t="shared" si="1"/>
        <v>RUUD</v>
      </c>
      <c r="AI111" s="39" t="s">
        <v>82</v>
      </c>
      <c r="AJ111" s="22"/>
    </row>
    <row r="112" ht="15.75" customHeight="1">
      <c r="A112" s="32" t="s">
        <v>77</v>
      </c>
      <c r="B112" s="32" t="s">
        <v>211</v>
      </c>
      <c r="C112" s="32" t="s">
        <v>79</v>
      </c>
      <c r="D112" s="22"/>
      <c r="E112" s="22"/>
      <c r="G112" s="22"/>
      <c r="H112" s="22"/>
      <c r="I112" s="22"/>
      <c r="J112" s="22"/>
      <c r="K112" s="22"/>
      <c r="L112" s="22"/>
      <c r="M112" s="41"/>
      <c r="N112" s="41"/>
      <c r="O112" s="31"/>
      <c r="P112" s="31"/>
      <c r="Q112" s="22"/>
      <c r="R112" s="22"/>
      <c r="S112" s="22"/>
      <c r="T112" s="22"/>
      <c r="U112" s="22"/>
      <c r="V112" s="32" t="s">
        <v>252</v>
      </c>
      <c r="W112" s="22"/>
      <c r="X112" s="22"/>
      <c r="Y112" s="29" t="s">
        <v>72</v>
      </c>
      <c r="Z112" s="22"/>
      <c r="AA112" s="37">
        <v>2364.08</v>
      </c>
      <c r="AB112" s="42">
        <v>3309.71</v>
      </c>
      <c r="AC112" s="31"/>
      <c r="AD112" s="32" t="s">
        <v>253</v>
      </c>
      <c r="AE112" s="22"/>
      <c r="AF112" s="29" t="s">
        <v>85</v>
      </c>
      <c r="AG112" s="40"/>
      <c r="AH112" s="40" t="str">
        <f t="shared" si="1"/>
        <v>RUUD</v>
      </c>
      <c r="AI112" s="39" t="s">
        <v>82</v>
      </c>
      <c r="AJ112" s="22"/>
    </row>
    <row r="113" ht="15.75" customHeight="1">
      <c r="A113" s="32" t="s">
        <v>77</v>
      </c>
      <c r="B113" s="32" t="s">
        <v>211</v>
      </c>
      <c r="C113" s="32" t="s">
        <v>79</v>
      </c>
      <c r="D113" s="22"/>
      <c r="E113" s="22"/>
      <c r="G113" s="22"/>
      <c r="H113" s="22"/>
      <c r="I113" s="22"/>
      <c r="J113" s="22"/>
      <c r="K113" s="22"/>
      <c r="L113" s="22"/>
      <c r="M113" s="41"/>
      <c r="N113" s="41"/>
      <c r="O113" s="31"/>
      <c r="P113" s="31"/>
      <c r="Q113" s="22"/>
      <c r="R113" s="22"/>
      <c r="S113" s="22"/>
      <c r="T113" s="22"/>
      <c r="U113" s="22"/>
      <c r="V113" s="32" t="s">
        <v>254</v>
      </c>
      <c r="W113" s="22"/>
      <c r="X113" s="22"/>
      <c r="Y113" s="29" t="s">
        <v>72</v>
      </c>
      <c r="Z113" s="22"/>
      <c r="AA113" s="37">
        <v>2481.05</v>
      </c>
      <c r="AB113" s="42">
        <v>3473.47</v>
      </c>
      <c r="AC113" s="31"/>
      <c r="AD113" s="32" t="s">
        <v>255</v>
      </c>
      <c r="AE113" s="22"/>
      <c r="AF113" s="29" t="s">
        <v>85</v>
      </c>
      <c r="AG113" s="40"/>
      <c r="AH113" s="40" t="str">
        <f t="shared" si="1"/>
        <v>RUUD</v>
      </c>
      <c r="AI113" s="39" t="s">
        <v>82</v>
      </c>
      <c r="AJ113" s="22"/>
    </row>
    <row r="114" ht="15.75" customHeight="1">
      <c r="A114" s="32" t="s">
        <v>77</v>
      </c>
      <c r="B114" s="32" t="s">
        <v>211</v>
      </c>
      <c r="C114" s="32" t="s">
        <v>79</v>
      </c>
      <c r="D114" s="22"/>
      <c r="E114" s="22"/>
      <c r="G114" s="22"/>
      <c r="H114" s="22"/>
      <c r="I114" s="22"/>
      <c r="J114" s="22"/>
      <c r="K114" s="22"/>
      <c r="L114" s="22"/>
      <c r="M114" s="41"/>
      <c r="N114" s="41"/>
      <c r="O114" s="31"/>
      <c r="P114" s="31"/>
      <c r="Q114" s="22"/>
      <c r="R114" s="22"/>
      <c r="S114" s="22"/>
      <c r="T114" s="22"/>
      <c r="U114" s="22"/>
      <c r="V114" s="32" t="s">
        <v>256</v>
      </c>
      <c r="W114" s="22"/>
      <c r="X114" s="22"/>
      <c r="Y114" s="29" t="s">
        <v>72</v>
      </c>
      <c r="Z114" s="22"/>
      <c r="AA114" s="37">
        <v>2798.65</v>
      </c>
      <c r="AB114" s="42">
        <v>3918.12</v>
      </c>
      <c r="AC114" s="31"/>
      <c r="AD114" s="32" t="s">
        <v>257</v>
      </c>
      <c r="AE114" s="22"/>
      <c r="AF114" s="29" t="s">
        <v>85</v>
      </c>
      <c r="AG114" s="40"/>
      <c r="AH114" s="40" t="str">
        <f t="shared" si="1"/>
        <v>RUUD</v>
      </c>
      <c r="AI114" s="39" t="s">
        <v>82</v>
      </c>
      <c r="AJ114" s="22"/>
    </row>
    <row r="115" ht="15.75" customHeight="1">
      <c r="A115" s="32" t="s">
        <v>77</v>
      </c>
      <c r="B115" s="32" t="s">
        <v>211</v>
      </c>
      <c r="C115" s="32" t="s">
        <v>79</v>
      </c>
      <c r="D115" s="22"/>
      <c r="E115" s="22"/>
      <c r="G115" s="22"/>
      <c r="H115" s="22"/>
      <c r="I115" s="22"/>
      <c r="J115" s="22"/>
      <c r="K115" s="22"/>
      <c r="L115" s="22"/>
      <c r="M115" s="41"/>
      <c r="N115" s="41"/>
      <c r="O115" s="31"/>
      <c r="P115" s="31"/>
      <c r="Q115" s="22"/>
      <c r="R115" s="22"/>
      <c r="S115" s="22"/>
      <c r="T115" s="22"/>
      <c r="U115" s="22"/>
      <c r="V115" s="32" t="s">
        <v>258</v>
      </c>
      <c r="W115" s="22"/>
      <c r="X115" s="22"/>
      <c r="Y115" s="29" t="s">
        <v>72</v>
      </c>
      <c r="Z115" s="22"/>
      <c r="AA115" s="37">
        <v>129.01</v>
      </c>
      <c r="AB115" s="42">
        <v>180.62</v>
      </c>
      <c r="AC115" s="31"/>
      <c r="AD115" s="32" t="s">
        <v>259</v>
      </c>
      <c r="AE115" s="22"/>
      <c r="AF115" s="29"/>
      <c r="AG115" s="40"/>
      <c r="AH115" s="40" t="str">
        <f t="shared" si="1"/>
        <v>RUUD</v>
      </c>
      <c r="AI115" s="39" t="s">
        <v>82</v>
      </c>
      <c r="AJ115" s="22"/>
    </row>
    <row r="116" ht="15.75" customHeight="1">
      <c r="A116" s="32" t="s">
        <v>77</v>
      </c>
      <c r="B116" s="32" t="s">
        <v>211</v>
      </c>
      <c r="C116" s="32" t="s">
        <v>79</v>
      </c>
      <c r="D116" s="22"/>
      <c r="E116" s="22"/>
      <c r="G116" s="22"/>
      <c r="H116" s="22"/>
      <c r="I116" s="22"/>
      <c r="J116" s="22"/>
      <c r="K116" s="22"/>
      <c r="L116" s="22"/>
      <c r="M116" s="41"/>
      <c r="N116" s="41"/>
      <c r="O116" s="31"/>
      <c r="P116" s="31"/>
      <c r="Q116" s="22"/>
      <c r="R116" s="22"/>
      <c r="S116" s="22"/>
      <c r="T116" s="22"/>
      <c r="U116" s="22"/>
      <c r="V116" s="32" t="s">
        <v>260</v>
      </c>
      <c r="W116" s="22"/>
      <c r="X116" s="22"/>
      <c r="Y116" s="29" t="s">
        <v>72</v>
      </c>
      <c r="Z116" s="22"/>
      <c r="AA116" s="37">
        <v>82.55</v>
      </c>
      <c r="AB116" s="42">
        <v>115.57</v>
      </c>
      <c r="AC116" s="31"/>
      <c r="AD116" s="32" t="s">
        <v>261</v>
      </c>
      <c r="AE116" s="22"/>
      <c r="AF116" s="29"/>
      <c r="AG116" s="40"/>
      <c r="AH116" s="40" t="str">
        <f t="shared" si="1"/>
        <v>RUUD</v>
      </c>
      <c r="AI116" s="39" t="s">
        <v>82</v>
      </c>
      <c r="AJ116" s="22"/>
    </row>
    <row r="117" ht="15.75" customHeight="1">
      <c r="A117" s="32" t="s">
        <v>77</v>
      </c>
      <c r="B117" s="32" t="s">
        <v>211</v>
      </c>
      <c r="C117" s="32" t="s">
        <v>79</v>
      </c>
      <c r="D117" s="22"/>
      <c r="E117" s="22"/>
      <c r="G117" s="22"/>
      <c r="H117" s="22"/>
      <c r="I117" s="22"/>
      <c r="J117" s="22"/>
      <c r="K117" s="22"/>
      <c r="L117" s="22"/>
      <c r="M117" s="41"/>
      <c r="N117" s="41"/>
      <c r="O117" s="31"/>
      <c r="P117" s="31"/>
      <c r="Q117" s="22"/>
      <c r="R117" s="22"/>
      <c r="S117" s="22"/>
      <c r="T117" s="22"/>
      <c r="U117" s="22"/>
      <c r="V117" s="32" t="s">
        <v>262</v>
      </c>
      <c r="W117" s="22"/>
      <c r="X117" s="22"/>
      <c r="Y117" s="29" t="s">
        <v>72</v>
      </c>
      <c r="Z117" s="22"/>
      <c r="AA117" s="37">
        <v>54.53</v>
      </c>
      <c r="AB117" s="42">
        <v>76.34</v>
      </c>
      <c r="AC117" s="31"/>
      <c r="AD117" s="32" t="s">
        <v>263</v>
      </c>
      <c r="AE117" s="22"/>
      <c r="AF117" s="29"/>
      <c r="AG117" s="40"/>
      <c r="AH117" s="40" t="str">
        <f t="shared" si="1"/>
        <v>RUUD</v>
      </c>
      <c r="AI117" s="39" t="s">
        <v>82</v>
      </c>
      <c r="AJ117" s="22"/>
    </row>
    <row r="118" ht="15.75" customHeight="1">
      <c r="A118" s="32" t="s">
        <v>77</v>
      </c>
      <c r="B118" s="32" t="s">
        <v>211</v>
      </c>
      <c r="C118" s="32" t="s">
        <v>79</v>
      </c>
      <c r="D118" s="22"/>
      <c r="E118" s="22"/>
      <c r="G118" s="22"/>
      <c r="H118" s="22"/>
      <c r="I118" s="22"/>
      <c r="J118" s="22"/>
      <c r="K118" s="22"/>
      <c r="L118" s="22"/>
      <c r="M118" s="41"/>
      <c r="N118" s="41"/>
      <c r="O118" s="31"/>
      <c r="P118" s="31"/>
      <c r="Q118" s="22"/>
      <c r="R118" s="22"/>
      <c r="S118" s="22"/>
      <c r="T118" s="22"/>
      <c r="U118" s="22"/>
      <c r="V118" s="32" t="s">
        <v>264</v>
      </c>
      <c r="W118" s="22"/>
      <c r="X118" s="22"/>
      <c r="Y118" s="29" t="s">
        <v>72</v>
      </c>
      <c r="Z118" s="22"/>
      <c r="AA118" s="37">
        <v>44.85</v>
      </c>
      <c r="AB118" s="42">
        <v>62.79</v>
      </c>
      <c r="AC118" s="31"/>
      <c r="AD118" s="32" t="s">
        <v>265</v>
      </c>
      <c r="AE118" s="22"/>
      <c r="AF118" s="22"/>
      <c r="AG118" s="40"/>
      <c r="AH118" s="40" t="str">
        <f t="shared" si="1"/>
        <v>RUUD</v>
      </c>
      <c r="AI118" s="39" t="s">
        <v>82</v>
      </c>
      <c r="AJ118" s="22"/>
    </row>
    <row r="119" ht="15.75" customHeight="1">
      <c r="A119" s="32" t="s">
        <v>77</v>
      </c>
      <c r="B119" s="32" t="s">
        <v>211</v>
      </c>
      <c r="C119" s="32" t="s">
        <v>79</v>
      </c>
      <c r="D119" s="22"/>
      <c r="E119" s="22"/>
      <c r="G119" s="22"/>
      <c r="H119" s="22"/>
      <c r="I119" s="22"/>
      <c r="J119" s="22"/>
      <c r="K119" s="22"/>
      <c r="L119" s="22"/>
      <c r="M119" s="41"/>
      <c r="N119" s="41"/>
      <c r="O119" s="31"/>
      <c r="P119" s="31"/>
      <c r="Q119" s="22"/>
      <c r="R119" s="22"/>
      <c r="S119" s="22"/>
      <c r="T119" s="22"/>
      <c r="U119" s="22"/>
      <c r="V119" s="32" t="s">
        <v>266</v>
      </c>
      <c r="W119" s="22"/>
      <c r="X119" s="22"/>
      <c r="Y119" s="29" t="s">
        <v>72</v>
      </c>
      <c r="Z119" s="22"/>
      <c r="AA119" s="37">
        <v>41.54</v>
      </c>
      <c r="AB119" s="42">
        <v>58.16</v>
      </c>
      <c r="AC119" s="31"/>
      <c r="AD119" s="32" t="s">
        <v>267</v>
      </c>
      <c r="AE119" s="22"/>
      <c r="AF119" s="22"/>
      <c r="AG119" s="40"/>
      <c r="AH119" s="40" t="str">
        <f t="shared" si="1"/>
        <v>RUUD</v>
      </c>
      <c r="AI119" s="39" t="s">
        <v>82</v>
      </c>
      <c r="AJ119" s="22"/>
    </row>
    <row r="120" ht="15.75" customHeight="1">
      <c r="A120" s="32" t="s">
        <v>77</v>
      </c>
      <c r="B120" s="32" t="s">
        <v>211</v>
      </c>
      <c r="C120" s="32" t="s">
        <v>79</v>
      </c>
      <c r="D120" s="22"/>
      <c r="E120" s="22"/>
      <c r="G120" s="22"/>
      <c r="H120" s="22"/>
      <c r="I120" s="22"/>
      <c r="J120" s="22"/>
      <c r="K120" s="22"/>
      <c r="L120" s="22"/>
      <c r="M120" s="41"/>
      <c r="N120" s="41"/>
      <c r="O120" s="31"/>
      <c r="P120" s="31"/>
      <c r="Q120" s="22"/>
      <c r="R120" s="22"/>
      <c r="S120" s="22"/>
      <c r="T120" s="22"/>
      <c r="U120" s="22"/>
      <c r="V120" s="32" t="s">
        <v>268</v>
      </c>
      <c r="W120" s="22"/>
      <c r="X120" s="22"/>
      <c r="Y120" s="29" t="s">
        <v>72</v>
      </c>
      <c r="Z120" s="22"/>
      <c r="AA120" s="37">
        <v>32.48</v>
      </c>
      <c r="AB120" s="42">
        <v>45.47</v>
      </c>
      <c r="AC120" s="31"/>
      <c r="AD120" s="32" t="s">
        <v>269</v>
      </c>
      <c r="AE120" s="22"/>
      <c r="AF120" s="22"/>
      <c r="AG120" s="40"/>
      <c r="AH120" s="40" t="str">
        <f t="shared" si="1"/>
        <v>RUUD</v>
      </c>
      <c r="AI120" s="39" t="s">
        <v>82</v>
      </c>
      <c r="AJ120" s="22"/>
    </row>
    <row r="121" ht="15.75" customHeight="1">
      <c r="A121" s="32" t="s">
        <v>77</v>
      </c>
      <c r="B121" s="32" t="s">
        <v>211</v>
      </c>
      <c r="C121" s="32" t="s">
        <v>79</v>
      </c>
      <c r="D121" s="22"/>
      <c r="E121" s="22"/>
      <c r="G121" s="22"/>
      <c r="H121" s="22"/>
      <c r="I121" s="22"/>
      <c r="J121" s="22"/>
      <c r="K121" s="22"/>
      <c r="L121" s="22"/>
      <c r="M121" s="41"/>
      <c r="N121" s="41"/>
      <c r="O121" s="31"/>
      <c r="P121" s="31"/>
      <c r="Q121" s="22"/>
      <c r="R121" s="22"/>
      <c r="S121" s="22"/>
      <c r="T121" s="22"/>
      <c r="U121" s="22"/>
      <c r="V121" s="32" t="s">
        <v>270</v>
      </c>
      <c r="W121" s="22"/>
      <c r="X121" s="22"/>
      <c r="Y121" s="29" t="s">
        <v>72</v>
      </c>
      <c r="Z121" s="22"/>
      <c r="AA121" s="37">
        <v>55.58</v>
      </c>
      <c r="AB121" s="42">
        <v>77.81</v>
      </c>
      <c r="AC121" s="31"/>
      <c r="AD121" s="32" t="s">
        <v>271</v>
      </c>
      <c r="AE121" s="22"/>
      <c r="AF121" s="22"/>
      <c r="AG121" s="40"/>
      <c r="AH121" s="40" t="str">
        <f t="shared" si="1"/>
        <v>RUUD</v>
      </c>
      <c r="AI121" s="39" t="s">
        <v>82</v>
      </c>
      <c r="AJ121" s="22"/>
    </row>
    <row r="122" ht="15.75" customHeight="1">
      <c r="A122" s="32" t="s">
        <v>77</v>
      </c>
      <c r="B122" s="32" t="s">
        <v>211</v>
      </c>
      <c r="C122" s="32" t="s">
        <v>79</v>
      </c>
      <c r="D122" s="22"/>
      <c r="E122" s="22"/>
      <c r="G122" s="22"/>
      <c r="H122" s="22"/>
      <c r="I122" s="22"/>
      <c r="J122" s="22"/>
      <c r="K122" s="22"/>
      <c r="L122" s="22"/>
      <c r="M122" s="41"/>
      <c r="N122" s="41"/>
      <c r="O122" s="31"/>
      <c r="P122" s="31"/>
      <c r="Q122" s="22"/>
      <c r="R122" s="22"/>
      <c r="S122" s="22"/>
      <c r="T122" s="22"/>
      <c r="U122" s="22"/>
      <c r="V122" s="32" t="s">
        <v>272</v>
      </c>
      <c r="W122" s="22"/>
      <c r="X122" s="22"/>
      <c r="Y122" s="29" t="s">
        <v>72</v>
      </c>
      <c r="Z122" s="22"/>
      <c r="AA122" s="37">
        <v>37.86</v>
      </c>
      <c r="AB122" s="42">
        <v>53.01</v>
      </c>
      <c r="AC122" s="31"/>
      <c r="AD122" s="32" t="s">
        <v>273</v>
      </c>
      <c r="AE122" s="22"/>
      <c r="AF122" s="22"/>
      <c r="AG122" s="40"/>
      <c r="AH122" s="40" t="str">
        <f t="shared" si="1"/>
        <v>RUUD</v>
      </c>
      <c r="AI122" s="39" t="s">
        <v>82</v>
      </c>
      <c r="AJ122" s="22"/>
    </row>
    <row r="123" ht="15.75" customHeight="1">
      <c r="A123" s="32" t="s">
        <v>77</v>
      </c>
      <c r="B123" s="32" t="s">
        <v>211</v>
      </c>
      <c r="C123" s="32" t="s">
        <v>79</v>
      </c>
      <c r="D123" s="22"/>
      <c r="E123" s="22"/>
      <c r="G123" s="22"/>
      <c r="H123" s="22"/>
      <c r="I123" s="22"/>
      <c r="J123" s="22"/>
      <c r="K123" s="22"/>
      <c r="L123" s="22"/>
      <c r="M123" s="41"/>
      <c r="N123" s="41"/>
      <c r="O123" s="31"/>
      <c r="P123" s="31"/>
      <c r="Q123" s="22"/>
      <c r="R123" s="22"/>
      <c r="S123" s="22"/>
      <c r="T123" s="22"/>
      <c r="U123" s="22"/>
      <c r="V123" s="32" t="s">
        <v>274</v>
      </c>
      <c r="W123" s="22"/>
      <c r="X123" s="22"/>
      <c r="Y123" s="29" t="s">
        <v>72</v>
      </c>
      <c r="Z123" s="22"/>
      <c r="AA123" s="37">
        <v>37.86</v>
      </c>
      <c r="AB123" s="42">
        <v>53.01</v>
      </c>
      <c r="AC123" s="31"/>
      <c r="AD123" s="32" t="s">
        <v>275</v>
      </c>
      <c r="AE123" s="22"/>
      <c r="AF123" s="22"/>
      <c r="AG123" s="40"/>
      <c r="AH123" s="40" t="str">
        <f t="shared" si="1"/>
        <v>RUUD</v>
      </c>
      <c r="AI123" s="39" t="s">
        <v>82</v>
      </c>
      <c r="AJ123" s="22"/>
    </row>
    <row r="124" ht="15.75" customHeight="1">
      <c r="A124" s="32" t="s">
        <v>77</v>
      </c>
      <c r="B124" s="32" t="s">
        <v>211</v>
      </c>
      <c r="C124" s="32" t="s">
        <v>79</v>
      </c>
      <c r="D124" s="22"/>
      <c r="E124" s="22"/>
      <c r="G124" s="22"/>
      <c r="H124" s="22"/>
      <c r="I124" s="22"/>
      <c r="J124" s="22"/>
      <c r="K124" s="22"/>
      <c r="L124" s="22"/>
      <c r="M124" s="41"/>
      <c r="N124" s="41"/>
      <c r="O124" s="31"/>
      <c r="P124" s="31"/>
      <c r="Q124" s="22"/>
      <c r="R124" s="22"/>
      <c r="S124" s="22"/>
      <c r="T124" s="22"/>
      <c r="U124" s="22"/>
      <c r="V124" s="32" t="s">
        <v>276</v>
      </c>
      <c r="W124" s="22"/>
      <c r="X124" s="22"/>
      <c r="Y124" s="29" t="s">
        <v>72</v>
      </c>
      <c r="Z124" s="22"/>
      <c r="AA124" s="37">
        <v>44.6</v>
      </c>
      <c r="AB124" s="42">
        <v>62.45</v>
      </c>
      <c r="AC124" s="31"/>
      <c r="AD124" s="32" t="s">
        <v>277</v>
      </c>
      <c r="AE124" s="22"/>
      <c r="AF124" s="22"/>
      <c r="AG124" s="40"/>
      <c r="AH124" s="40" t="str">
        <f t="shared" si="1"/>
        <v>RUUD</v>
      </c>
      <c r="AI124" s="39" t="s">
        <v>82</v>
      </c>
      <c r="AJ124" s="22"/>
    </row>
    <row r="125" ht="15.75" customHeight="1">
      <c r="A125" s="32" t="s">
        <v>77</v>
      </c>
      <c r="B125" s="32" t="s">
        <v>211</v>
      </c>
      <c r="C125" s="32" t="s">
        <v>79</v>
      </c>
      <c r="D125" s="22"/>
      <c r="E125" s="22"/>
      <c r="G125" s="22"/>
      <c r="H125" s="22"/>
      <c r="I125" s="22"/>
      <c r="J125" s="22"/>
      <c r="K125" s="22"/>
      <c r="L125" s="22"/>
      <c r="M125" s="41"/>
      <c r="N125" s="41"/>
      <c r="O125" s="31"/>
      <c r="P125" s="31"/>
      <c r="Q125" s="22"/>
      <c r="R125" s="22"/>
      <c r="S125" s="22"/>
      <c r="T125" s="22"/>
      <c r="U125" s="22"/>
      <c r="V125" s="32" t="s">
        <v>278</v>
      </c>
      <c r="W125" s="22"/>
      <c r="X125" s="22"/>
      <c r="Y125" s="29" t="s">
        <v>72</v>
      </c>
      <c r="Z125" s="22"/>
      <c r="AA125" s="37">
        <v>55.83</v>
      </c>
      <c r="AB125" s="42">
        <v>78.16</v>
      </c>
      <c r="AC125" s="31"/>
      <c r="AD125" s="32" t="s">
        <v>279</v>
      </c>
      <c r="AE125" s="22"/>
      <c r="AF125" s="22"/>
      <c r="AG125" s="40"/>
      <c r="AH125" s="40" t="str">
        <f t="shared" si="1"/>
        <v>RUUD</v>
      </c>
      <c r="AI125" s="39" t="s">
        <v>82</v>
      </c>
      <c r="AJ125" s="22"/>
    </row>
    <row r="126" ht="15.75" customHeight="1">
      <c r="A126" s="32" t="s">
        <v>77</v>
      </c>
      <c r="B126" s="32" t="s">
        <v>280</v>
      </c>
      <c r="C126" s="32" t="s">
        <v>79</v>
      </c>
      <c r="D126" s="22"/>
      <c r="E126" s="22"/>
      <c r="G126" s="22"/>
      <c r="H126" s="22"/>
      <c r="I126" s="22"/>
      <c r="J126" s="22"/>
      <c r="K126" s="22"/>
      <c r="L126" s="22"/>
      <c r="M126" s="41"/>
      <c r="N126" s="41"/>
      <c r="O126" s="31"/>
      <c r="P126" s="31"/>
      <c r="Q126" s="22"/>
      <c r="R126" s="22"/>
      <c r="S126" s="22"/>
      <c r="T126" s="22"/>
      <c r="U126" s="22"/>
      <c r="V126" s="32" t="s">
        <v>281</v>
      </c>
      <c r="W126" s="22"/>
      <c r="X126" s="22"/>
      <c r="Y126" s="29" t="s">
        <v>72</v>
      </c>
      <c r="Z126" s="22"/>
      <c r="AA126" s="37">
        <v>2413.36</v>
      </c>
      <c r="AB126" s="42">
        <v>3378.7</v>
      </c>
      <c r="AC126" s="31"/>
      <c r="AD126" s="32" t="s">
        <v>282</v>
      </c>
      <c r="AE126" s="22"/>
      <c r="AF126" s="29" t="s">
        <v>85</v>
      </c>
      <c r="AG126" s="40"/>
      <c r="AH126" s="40" t="str">
        <f t="shared" si="1"/>
        <v>RUUD</v>
      </c>
      <c r="AI126" s="39" t="s">
        <v>82</v>
      </c>
      <c r="AJ126" s="22"/>
    </row>
    <row r="127" ht="15.75" customHeight="1">
      <c r="A127" s="32" t="s">
        <v>77</v>
      </c>
      <c r="B127" s="32" t="s">
        <v>280</v>
      </c>
      <c r="C127" s="32" t="s">
        <v>79</v>
      </c>
      <c r="D127" s="22"/>
      <c r="E127" s="22"/>
      <c r="G127" s="22"/>
      <c r="H127" s="22"/>
      <c r="I127" s="22"/>
      <c r="J127" s="22"/>
      <c r="K127" s="22"/>
      <c r="L127" s="22"/>
      <c r="M127" s="41"/>
      <c r="N127" s="41"/>
      <c r="O127" s="31"/>
      <c r="P127" s="31"/>
      <c r="Q127" s="22"/>
      <c r="R127" s="22"/>
      <c r="S127" s="22"/>
      <c r="T127" s="22"/>
      <c r="U127" s="22"/>
      <c r="V127" s="32" t="s">
        <v>283</v>
      </c>
      <c r="W127" s="22"/>
      <c r="X127" s="22"/>
      <c r="Y127" s="29" t="s">
        <v>72</v>
      </c>
      <c r="Z127" s="22"/>
      <c r="AA127" s="37">
        <v>2140.19</v>
      </c>
      <c r="AB127" s="42">
        <v>2996.27</v>
      </c>
      <c r="AC127" s="31"/>
      <c r="AD127" s="32" t="s">
        <v>284</v>
      </c>
      <c r="AE127" s="22"/>
      <c r="AF127" s="29" t="s">
        <v>85</v>
      </c>
      <c r="AG127" s="40"/>
      <c r="AH127" s="40" t="str">
        <f t="shared" si="1"/>
        <v>RUUD</v>
      </c>
      <c r="AI127" s="39" t="s">
        <v>82</v>
      </c>
      <c r="AJ127" s="22"/>
    </row>
    <row r="128" ht="15.75" customHeight="1">
      <c r="A128" s="32" t="s">
        <v>77</v>
      </c>
      <c r="B128" s="32" t="s">
        <v>280</v>
      </c>
      <c r="C128" s="32" t="s">
        <v>79</v>
      </c>
      <c r="D128" s="22"/>
      <c r="E128" s="22"/>
      <c r="G128" s="22"/>
      <c r="H128" s="22"/>
      <c r="I128" s="22"/>
      <c r="J128" s="22"/>
      <c r="K128" s="22"/>
      <c r="L128" s="22"/>
      <c r="M128" s="41"/>
      <c r="N128" s="41"/>
      <c r="O128" s="31"/>
      <c r="P128" s="31"/>
      <c r="Q128" s="22"/>
      <c r="R128" s="22"/>
      <c r="S128" s="22"/>
      <c r="T128" s="22"/>
      <c r="U128" s="22"/>
      <c r="V128" s="32" t="s">
        <v>285</v>
      </c>
      <c r="W128" s="22"/>
      <c r="X128" s="22"/>
      <c r="Y128" s="29" t="s">
        <v>72</v>
      </c>
      <c r="Z128" s="22"/>
      <c r="AA128" s="37">
        <v>2316.71</v>
      </c>
      <c r="AB128" s="42">
        <v>3243.4</v>
      </c>
      <c r="AC128" s="31"/>
      <c r="AD128" s="32" t="s">
        <v>286</v>
      </c>
      <c r="AE128" s="22"/>
      <c r="AF128" s="29" t="s">
        <v>85</v>
      </c>
      <c r="AG128" s="40"/>
      <c r="AH128" s="40" t="str">
        <f t="shared" si="1"/>
        <v>RUUD</v>
      </c>
      <c r="AI128" s="39" t="s">
        <v>82</v>
      </c>
      <c r="AJ128" s="22"/>
    </row>
    <row r="129" ht="15.75" customHeight="1">
      <c r="A129" s="32" t="s">
        <v>77</v>
      </c>
      <c r="B129" s="32" t="s">
        <v>280</v>
      </c>
      <c r="C129" s="32" t="s">
        <v>79</v>
      </c>
      <c r="D129" s="22"/>
      <c r="E129" s="22"/>
      <c r="G129" s="22"/>
      <c r="H129" s="22"/>
      <c r="I129" s="22"/>
      <c r="J129" s="22"/>
      <c r="K129" s="22"/>
      <c r="L129" s="22"/>
      <c r="M129" s="41"/>
      <c r="N129" s="41"/>
      <c r="O129" s="31"/>
      <c r="P129" s="31"/>
      <c r="Q129" s="22"/>
      <c r="R129" s="22"/>
      <c r="S129" s="22"/>
      <c r="T129" s="22"/>
      <c r="U129" s="22"/>
      <c r="V129" s="32" t="s">
        <v>287</v>
      </c>
      <c r="W129" s="22"/>
      <c r="X129" s="22"/>
      <c r="Y129" s="29" t="s">
        <v>72</v>
      </c>
      <c r="Z129" s="22"/>
      <c r="AA129" s="37">
        <v>2588.19</v>
      </c>
      <c r="AB129" s="42">
        <v>3623.47</v>
      </c>
      <c r="AC129" s="31"/>
      <c r="AD129" s="32" t="s">
        <v>288</v>
      </c>
      <c r="AE129" s="22"/>
      <c r="AF129" s="29" t="s">
        <v>85</v>
      </c>
      <c r="AG129" s="40"/>
      <c r="AH129" s="40" t="str">
        <f t="shared" si="1"/>
        <v>RUUD</v>
      </c>
      <c r="AI129" s="39" t="s">
        <v>82</v>
      </c>
      <c r="AJ129" s="22"/>
    </row>
    <row r="130" ht="15.75" customHeight="1">
      <c r="A130" s="32" t="s">
        <v>77</v>
      </c>
      <c r="B130" s="32" t="s">
        <v>280</v>
      </c>
      <c r="C130" s="32" t="s">
        <v>79</v>
      </c>
      <c r="D130" s="22"/>
      <c r="E130" s="22"/>
      <c r="G130" s="22"/>
      <c r="H130" s="22"/>
      <c r="I130" s="22"/>
      <c r="J130" s="22"/>
      <c r="K130" s="22"/>
      <c r="L130" s="22"/>
      <c r="M130" s="41"/>
      <c r="N130" s="41"/>
      <c r="O130" s="31"/>
      <c r="P130" s="31"/>
      <c r="Q130" s="22"/>
      <c r="R130" s="22"/>
      <c r="S130" s="22"/>
      <c r="T130" s="22"/>
      <c r="U130" s="22"/>
      <c r="V130" s="32" t="s">
        <v>289</v>
      </c>
      <c r="W130" s="22"/>
      <c r="X130" s="22"/>
      <c r="Y130" s="29" t="s">
        <v>72</v>
      </c>
      <c r="Z130" s="22"/>
      <c r="AA130" s="37">
        <v>2874.24</v>
      </c>
      <c r="AB130" s="42">
        <v>4023.94</v>
      </c>
      <c r="AC130" s="31"/>
      <c r="AD130" s="32" t="s">
        <v>290</v>
      </c>
      <c r="AE130" s="22"/>
      <c r="AF130" s="29" t="s">
        <v>85</v>
      </c>
      <c r="AG130" s="40"/>
      <c r="AH130" s="40" t="str">
        <f t="shared" si="1"/>
        <v>RUUD</v>
      </c>
      <c r="AI130" s="39" t="s">
        <v>82</v>
      </c>
      <c r="AJ130" s="22"/>
    </row>
    <row r="131" ht="15.75" customHeight="1">
      <c r="A131" s="32" t="s">
        <v>77</v>
      </c>
      <c r="B131" s="32" t="s">
        <v>280</v>
      </c>
      <c r="C131" s="32" t="s">
        <v>79</v>
      </c>
      <c r="D131" s="22"/>
      <c r="E131" s="22"/>
      <c r="G131" s="22"/>
      <c r="H131" s="22"/>
      <c r="I131" s="22"/>
      <c r="J131" s="22"/>
      <c r="K131" s="22"/>
      <c r="L131" s="22"/>
      <c r="M131" s="41"/>
      <c r="N131" s="41"/>
      <c r="O131" s="31"/>
      <c r="P131" s="31"/>
      <c r="Q131" s="22"/>
      <c r="R131" s="22"/>
      <c r="S131" s="22"/>
      <c r="T131" s="22"/>
      <c r="U131" s="22"/>
      <c r="V131" s="32" t="s">
        <v>291</v>
      </c>
      <c r="W131" s="22"/>
      <c r="X131" s="22"/>
      <c r="Y131" s="29" t="s">
        <v>72</v>
      </c>
      <c r="Z131" s="22"/>
      <c r="AA131" s="37">
        <v>3136.9</v>
      </c>
      <c r="AB131" s="42">
        <v>4391.66</v>
      </c>
      <c r="AC131" s="31"/>
      <c r="AD131" s="32" t="s">
        <v>292</v>
      </c>
      <c r="AE131" s="22"/>
      <c r="AF131" s="29" t="s">
        <v>85</v>
      </c>
      <c r="AG131" s="40"/>
      <c r="AH131" s="40" t="str">
        <f t="shared" si="1"/>
        <v>RUUD</v>
      </c>
      <c r="AI131" s="39" t="s">
        <v>82</v>
      </c>
      <c r="AJ131" s="22"/>
    </row>
    <row r="132" ht="15.75" customHeight="1">
      <c r="A132" s="32" t="s">
        <v>77</v>
      </c>
      <c r="B132" s="32" t="s">
        <v>280</v>
      </c>
      <c r="C132" s="32" t="s">
        <v>79</v>
      </c>
      <c r="D132" s="22"/>
      <c r="E132" s="22"/>
      <c r="G132" s="22"/>
      <c r="H132" s="22"/>
      <c r="I132" s="22"/>
      <c r="J132" s="22"/>
      <c r="K132" s="22"/>
      <c r="L132" s="22"/>
      <c r="M132" s="41"/>
      <c r="N132" s="41"/>
      <c r="O132" s="31"/>
      <c r="P132" s="31"/>
      <c r="Q132" s="22"/>
      <c r="R132" s="22"/>
      <c r="S132" s="22"/>
      <c r="T132" s="22"/>
      <c r="U132" s="22"/>
      <c r="V132" s="32" t="s">
        <v>293</v>
      </c>
      <c r="W132" s="22"/>
      <c r="X132" s="22"/>
      <c r="Y132" s="29" t="s">
        <v>72</v>
      </c>
      <c r="Z132" s="22"/>
      <c r="AA132" s="37">
        <v>3726.31</v>
      </c>
      <c r="AB132" s="42">
        <v>5216.84</v>
      </c>
      <c r="AC132" s="31"/>
      <c r="AD132" s="32" t="s">
        <v>294</v>
      </c>
      <c r="AE132" s="22"/>
      <c r="AF132" s="29" t="s">
        <v>85</v>
      </c>
      <c r="AG132" s="40"/>
      <c r="AH132" s="40" t="str">
        <f t="shared" si="1"/>
        <v>RUUD</v>
      </c>
      <c r="AI132" s="39" t="s">
        <v>82</v>
      </c>
      <c r="AJ132" s="22"/>
    </row>
    <row r="133" ht="15.75" customHeight="1">
      <c r="A133" s="32" t="s">
        <v>77</v>
      </c>
      <c r="B133" s="32" t="s">
        <v>280</v>
      </c>
      <c r="C133" s="32" t="s">
        <v>79</v>
      </c>
      <c r="D133" s="22"/>
      <c r="E133" s="22"/>
      <c r="G133" s="22"/>
      <c r="H133" s="22"/>
      <c r="I133" s="22"/>
      <c r="J133" s="22"/>
      <c r="K133" s="22"/>
      <c r="L133" s="22"/>
      <c r="M133" s="41"/>
      <c r="N133" s="41"/>
      <c r="O133" s="31"/>
      <c r="P133" s="31"/>
      <c r="Q133" s="22"/>
      <c r="R133" s="22"/>
      <c r="S133" s="22"/>
      <c r="T133" s="22"/>
      <c r="U133" s="22"/>
      <c r="V133" s="32" t="s">
        <v>295</v>
      </c>
      <c r="W133" s="22"/>
      <c r="X133" s="22"/>
      <c r="Y133" s="29" t="s">
        <v>72</v>
      </c>
      <c r="Z133" s="22"/>
      <c r="AA133" s="37">
        <v>3254.92</v>
      </c>
      <c r="AB133" s="42">
        <v>4556.89</v>
      </c>
      <c r="AC133" s="31"/>
      <c r="AD133" s="32" t="s">
        <v>296</v>
      </c>
      <c r="AE133" s="22"/>
      <c r="AF133" s="29" t="s">
        <v>85</v>
      </c>
      <c r="AG133" s="40"/>
      <c r="AH133" s="40" t="str">
        <f t="shared" si="1"/>
        <v>RUUD</v>
      </c>
      <c r="AI133" s="39" t="s">
        <v>82</v>
      </c>
      <c r="AJ133" s="22"/>
    </row>
    <row r="134" ht="15.75" customHeight="1">
      <c r="A134" s="32" t="s">
        <v>77</v>
      </c>
      <c r="B134" s="32" t="s">
        <v>280</v>
      </c>
      <c r="C134" s="32" t="s">
        <v>79</v>
      </c>
      <c r="D134" s="22"/>
      <c r="E134" s="22"/>
      <c r="G134" s="22"/>
      <c r="H134" s="22"/>
      <c r="I134" s="22"/>
      <c r="J134" s="22"/>
      <c r="K134" s="22"/>
      <c r="L134" s="22"/>
      <c r="M134" s="41"/>
      <c r="N134" s="41"/>
      <c r="O134" s="31"/>
      <c r="P134" s="31"/>
      <c r="Q134" s="22"/>
      <c r="R134" s="22"/>
      <c r="S134" s="22"/>
      <c r="T134" s="22"/>
      <c r="U134" s="22"/>
      <c r="V134" s="32" t="s">
        <v>297</v>
      </c>
      <c r="W134" s="22"/>
      <c r="X134" s="22"/>
      <c r="Y134" s="29" t="s">
        <v>72</v>
      </c>
      <c r="Z134" s="22"/>
      <c r="AA134" s="37">
        <v>3246.49</v>
      </c>
      <c r="AB134" s="42">
        <v>4545.09</v>
      </c>
      <c r="AC134" s="31"/>
      <c r="AD134" s="32" t="s">
        <v>298</v>
      </c>
      <c r="AE134" s="22"/>
      <c r="AF134" s="29" t="s">
        <v>85</v>
      </c>
      <c r="AG134" s="40"/>
      <c r="AH134" s="40" t="str">
        <f t="shared" si="1"/>
        <v>RUUD</v>
      </c>
      <c r="AI134" s="39" t="s">
        <v>82</v>
      </c>
      <c r="AJ134" s="22"/>
    </row>
    <row r="135" ht="15.75" customHeight="1">
      <c r="A135" s="32" t="s">
        <v>77</v>
      </c>
      <c r="B135" s="32" t="s">
        <v>280</v>
      </c>
      <c r="C135" s="32" t="s">
        <v>79</v>
      </c>
      <c r="D135" s="22"/>
      <c r="E135" s="22"/>
      <c r="G135" s="22"/>
      <c r="H135" s="22"/>
      <c r="I135" s="22"/>
      <c r="J135" s="22"/>
      <c r="K135" s="22"/>
      <c r="L135" s="22"/>
      <c r="M135" s="41"/>
      <c r="N135" s="41"/>
      <c r="O135" s="31"/>
      <c r="P135" s="31"/>
      <c r="Q135" s="22"/>
      <c r="R135" s="22"/>
      <c r="S135" s="22"/>
      <c r="T135" s="22"/>
      <c r="U135" s="22"/>
      <c r="V135" s="32" t="s">
        <v>299</v>
      </c>
      <c r="W135" s="22"/>
      <c r="X135" s="22"/>
      <c r="Y135" s="29" t="s">
        <v>72</v>
      </c>
      <c r="Z135" s="22"/>
      <c r="AA135" s="37">
        <v>4060.52</v>
      </c>
      <c r="AB135" s="42">
        <v>5684.73</v>
      </c>
      <c r="AC135" s="31"/>
      <c r="AD135" s="32" t="s">
        <v>300</v>
      </c>
      <c r="AE135" s="22"/>
      <c r="AF135" s="29" t="s">
        <v>85</v>
      </c>
      <c r="AG135" s="40"/>
      <c r="AH135" s="40" t="str">
        <f t="shared" si="1"/>
        <v>RUUD</v>
      </c>
      <c r="AI135" s="39" t="s">
        <v>82</v>
      </c>
      <c r="AJ135" s="22"/>
    </row>
    <row r="136" ht="15.75" customHeight="1">
      <c r="A136" s="32" t="s">
        <v>77</v>
      </c>
      <c r="B136" s="32" t="s">
        <v>280</v>
      </c>
      <c r="C136" s="32" t="s">
        <v>79</v>
      </c>
      <c r="D136" s="22"/>
      <c r="E136" s="22"/>
      <c r="G136" s="22"/>
      <c r="H136" s="22"/>
      <c r="I136" s="22"/>
      <c r="J136" s="22"/>
      <c r="K136" s="22"/>
      <c r="L136" s="22"/>
      <c r="M136" s="41"/>
      <c r="N136" s="41"/>
      <c r="O136" s="31"/>
      <c r="P136" s="31"/>
      <c r="Q136" s="22"/>
      <c r="R136" s="22"/>
      <c r="S136" s="22"/>
      <c r="T136" s="22"/>
      <c r="U136" s="22"/>
      <c r="V136" s="32" t="s">
        <v>301</v>
      </c>
      <c r="W136" s="22"/>
      <c r="X136" s="22"/>
      <c r="Y136" s="29" t="s">
        <v>72</v>
      </c>
      <c r="Z136" s="22"/>
      <c r="AA136" s="37">
        <v>4449.03</v>
      </c>
      <c r="AB136" s="42">
        <v>6228.64</v>
      </c>
      <c r="AC136" s="31"/>
      <c r="AD136" s="32" t="s">
        <v>302</v>
      </c>
      <c r="AE136" s="22"/>
      <c r="AF136" s="29" t="s">
        <v>85</v>
      </c>
      <c r="AG136" s="40"/>
      <c r="AH136" s="40" t="str">
        <f t="shared" si="1"/>
        <v>RUUD</v>
      </c>
      <c r="AI136" s="39" t="s">
        <v>82</v>
      </c>
      <c r="AJ136" s="22"/>
    </row>
    <row r="137" ht="15.75" customHeight="1">
      <c r="A137" s="32" t="s">
        <v>77</v>
      </c>
      <c r="B137" s="32" t="s">
        <v>280</v>
      </c>
      <c r="C137" s="32" t="s">
        <v>79</v>
      </c>
      <c r="D137" s="22"/>
      <c r="E137" s="22"/>
      <c r="G137" s="22"/>
      <c r="H137" s="22"/>
      <c r="I137" s="22"/>
      <c r="J137" s="22"/>
      <c r="K137" s="22"/>
      <c r="L137" s="22"/>
      <c r="M137" s="41"/>
      <c r="N137" s="41"/>
      <c r="O137" s="31"/>
      <c r="P137" s="31"/>
      <c r="Q137" s="22"/>
      <c r="R137" s="22"/>
      <c r="S137" s="22"/>
      <c r="T137" s="22"/>
      <c r="U137" s="22"/>
      <c r="V137" s="32" t="s">
        <v>303</v>
      </c>
      <c r="W137" s="22"/>
      <c r="X137" s="22"/>
      <c r="Y137" s="29" t="s">
        <v>72</v>
      </c>
      <c r="Z137" s="22"/>
      <c r="AA137" s="37">
        <v>4611.31</v>
      </c>
      <c r="AB137" s="42">
        <v>6455.83</v>
      </c>
      <c r="AC137" s="31"/>
      <c r="AD137" s="32" t="s">
        <v>304</v>
      </c>
      <c r="AE137" s="22"/>
      <c r="AF137" s="29" t="s">
        <v>85</v>
      </c>
      <c r="AG137" s="40"/>
      <c r="AH137" s="40" t="str">
        <f t="shared" si="1"/>
        <v>RUUD</v>
      </c>
      <c r="AI137" s="39" t="s">
        <v>82</v>
      </c>
      <c r="AJ137" s="22"/>
    </row>
    <row r="138" ht="15.75" customHeight="1">
      <c r="A138" s="32" t="s">
        <v>77</v>
      </c>
      <c r="B138" s="32" t="s">
        <v>280</v>
      </c>
      <c r="C138" s="32" t="s">
        <v>79</v>
      </c>
      <c r="D138" s="22"/>
      <c r="E138" s="22"/>
      <c r="G138" s="22"/>
      <c r="H138" s="22"/>
      <c r="I138" s="22"/>
      <c r="J138" s="22"/>
      <c r="K138" s="22"/>
      <c r="L138" s="22"/>
      <c r="M138" s="41"/>
      <c r="N138" s="41"/>
      <c r="O138" s="31"/>
      <c r="P138" s="31"/>
      <c r="Q138" s="22"/>
      <c r="R138" s="22"/>
      <c r="S138" s="22"/>
      <c r="T138" s="22"/>
      <c r="U138" s="22"/>
      <c r="V138" s="32" t="s">
        <v>305</v>
      </c>
      <c r="W138" s="22"/>
      <c r="X138" s="22"/>
      <c r="Y138" s="29" t="s">
        <v>72</v>
      </c>
      <c r="Z138" s="22"/>
      <c r="AA138" s="37">
        <v>5416.98</v>
      </c>
      <c r="AB138" s="42">
        <v>7583.77</v>
      </c>
      <c r="AC138" s="31"/>
      <c r="AD138" s="32" t="s">
        <v>306</v>
      </c>
      <c r="AE138" s="22"/>
      <c r="AF138" s="29" t="s">
        <v>85</v>
      </c>
      <c r="AG138" s="40"/>
      <c r="AH138" s="40" t="str">
        <f t="shared" si="1"/>
        <v>RUUD</v>
      </c>
      <c r="AI138" s="39" t="s">
        <v>82</v>
      </c>
      <c r="AJ138" s="22"/>
    </row>
    <row r="139" ht="15.75" customHeight="1">
      <c r="A139" s="32" t="s">
        <v>77</v>
      </c>
      <c r="B139" s="32" t="s">
        <v>280</v>
      </c>
      <c r="C139" s="32" t="s">
        <v>79</v>
      </c>
      <c r="D139" s="22"/>
      <c r="E139" s="22"/>
      <c r="G139" s="22"/>
      <c r="H139" s="22"/>
      <c r="I139" s="22"/>
      <c r="J139" s="22"/>
      <c r="K139" s="22"/>
      <c r="L139" s="22"/>
      <c r="M139" s="41"/>
      <c r="N139" s="41"/>
      <c r="O139" s="31"/>
      <c r="P139" s="31"/>
      <c r="Q139" s="22"/>
      <c r="R139" s="22"/>
      <c r="S139" s="22"/>
      <c r="T139" s="22"/>
      <c r="U139" s="22"/>
      <c r="V139" s="32" t="s">
        <v>307</v>
      </c>
      <c r="W139" s="22"/>
      <c r="X139" s="22"/>
      <c r="Y139" s="29" t="s">
        <v>72</v>
      </c>
      <c r="Z139" s="22"/>
      <c r="AA139" s="37">
        <v>2490.93</v>
      </c>
      <c r="AB139" s="42">
        <v>3487.3</v>
      </c>
      <c r="AC139" s="31"/>
      <c r="AD139" s="32" t="s">
        <v>308</v>
      </c>
      <c r="AE139" s="22"/>
      <c r="AF139" s="29" t="s">
        <v>85</v>
      </c>
      <c r="AG139" s="40"/>
      <c r="AH139" s="40" t="str">
        <f t="shared" si="1"/>
        <v>RUUD</v>
      </c>
      <c r="AI139" s="39" t="s">
        <v>82</v>
      </c>
      <c r="AJ139" s="22"/>
    </row>
    <row r="140" ht="15.75" customHeight="1">
      <c r="A140" s="32" t="s">
        <v>77</v>
      </c>
      <c r="B140" s="32" t="s">
        <v>280</v>
      </c>
      <c r="C140" s="32" t="s">
        <v>79</v>
      </c>
      <c r="D140" s="22"/>
      <c r="E140" s="22"/>
      <c r="G140" s="22"/>
      <c r="H140" s="22"/>
      <c r="I140" s="22"/>
      <c r="J140" s="22"/>
      <c r="K140" s="22"/>
      <c r="L140" s="22"/>
      <c r="M140" s="41"/>
      <c r="N140" s="41"/>
      <c r="O140" s="31"/>
      <c r="P140" s="31"/>
      <c r="Q140" s="22"/>
      <c r="R140" s="22"/>
      <c r="S140" s="22"/>
      <c r="T140" s="22"/>
      <c r="U140" s="22"/>
      <c r="V140" s="32" t="s">
        <v>309</v>
      </c>
      <c r="W140" s="22"/>
      <c r="X140" s="22"/>
      <c r="Y140" s="29" t="s">
        <v>72</v>
      </c>
      <c r="Z140" s="22"/>
      <c r="AA140" s="37">
        <v>2622.03</v>
      </c>
      <c r="AB140" s="42">
        <v>3670.84</v>
      </c>
      <c r="AC140" s="31"/>
      <c r="AD140" s="32" t="s">
        <v>310</v>
      </c>
      <c r="AE140" s="22"/>
      <c r="AF140" s="29" t="s">
        <v>85</v>
      </c>
      <c r="AG140" s="40"/>
      <c r="AH140" s="40" t="str">
        <f t="shared" si="1"/>
        <v>RUUD</v>
      </c>
      <c r="AI140" s="39" t="s">
        <v>82</v>
      </c>
      <c r="AJ140" s="22"/>
    </row>
    <row r="141" ht="15.75" customHeight="1">
      <c r="A141" s="32" t="s">
        <v>77</v>
      </c>
      <c r="B141" s="32" t="s">
        <v>280</v>
      </c>
      <c r="C141" s="32" t="s">
        <v>79</v>
      </c>
      <c r="D141" s="22"/>
      <c r="E141" s="22"/>
      <c r="G141" s="22"/>
      <c r="H141" s="22"/>
      <c r="I141" s="22"/>
      <c r="J141" s="22"/>
      <c r="K141" s="22"/>
      <c r="L141" s="22"/>
      <c r="M141" s="41"/>
      <c r="N141" s="41"/>
      <c r="O141" s="31"/>
      <c r="P141" s="31"/>
      <c r="Q141" s="22"/>
      <c r="R141" s="22"/>
      <c r="S141" s="22"/>
      <c r="T141" s="22"/>
      <c r="U141" s="22"/>
      <c r="V141" s="32" t="s">
        <v>311</v>
      </c>
      <c r="W141" s="22"/>
      <c r="X141" s="22"/>
      <c r="Y141" s="29" t="s">
        <v>72</v>
      </c>
      <c r="Z141" s="22"/>
      <c r="AA141" s="37">
        <v>3096.5</v>
      </c>
      <c r="AB141" s="42">
        <v>4335.11</v>
      </c>
      <c r="AC141" s="31"/>
      <c r="AD141" s="32" t="s">
        <v>312</v>
      </c>
      <c r="AE141" s="22"/>
      <c r="AF141" s="29" t="s">
        <v>85</v>
      </c>
      <c r="AG141" s="40"/>
      <c r="AH141" s="40" t="str">
        <f t="shared" si="1"/>
        <v>RUUD</v>
      </c>
      <c r="AI141" s="39" t="s">
        <v>82</v>
      </c>
      <c r="AJ141" s="22"/>
    </row>
    <row r="142" ht="15.75" customHeight="1">
      <c r="A142" s="32" t="s">
        <v>77</v>
      </c>
      <c r="B142" s="32" t="s">
        <v>280</v>
      </c>
      <c r="C142" s="32" t="s">
        <v>79</v>
      </c>
      <c r="D142" s="22"/>
      <c r="E142" s="22"/>
      <c r="G142" s="22"/>
      <c r="H142" s="22"/>
      <c r="I142" s="22"/>
      <c r="J142" s="22"/>
      <c r="K142" s="22"/>
      <c r="L142" s="22"/>
      <c r="M142" s="41"/>
      <c r="N142" s="41"/>
      <c r="O142" s="31"/>
      <c r="P142" s="31"/>
      <c r="Q142" s="22"/>
      <c r="R142" s="22"/>
      <c r="S142" s="22"/>
      <c r="T142" s="22"/>
      <c r="U142" s="22"/>
      <c r="V142" s="32" t="s">
        <v>313</v>
      </c>
      <c r="W142" s="22"/>
      <c r="X142" s="22"/>
      <c r="Y142" s="29" t="s">
        <v>72</v>
      </c>
      <c r="Z142" s="22"/>
      <c r="AA142" s="37">
        <v>3259.48</v>
      </c>
      <c r="AB142" s="42">
        <v>4563.27</v>
      </c>
      <c r="AC142" s="31"/>
      <c r="AD142" s="32" t="s">
        <v>314</v>
      </c>
      <c r="AE142" s="22"/>
      <c r="AF142" s="29" t="s">
        <v>85</v>
      </c>
      <c r="AG142" s="40"/>
      <c r="AH142" s="40" t="str">
        <f t="shared" si="1"/>
        <v>RUUD</v>
      </c>
      <c r="AI142" s="39" t="s">
        <v>82</v>
      </c>
      <c r="AJ142" s="22"/>
    </row>
    <row r="143" ht="15.75" customHeight="1">
      <c r="A143" s="32" t="s">
        <v>77</v>
      </c>
      <c r="B143" s="32" t="s">
        <v>280</v>
      </c>
      <c r="C143" s="32" t="s">
        <v>79</v>
      </c>
      <c r="D143" s="22"/>
      <c r="E143" s="22"/>
      <c r="G143" s="22"/>
      <c r="H143" s="22"/>
      <c r="I143" s="22"/>
      <c r="J143" s="22"/>
      <c r="K143" s="22"/>
      <c r="L143" s="22"/>
      <c r="M143" s="41"/>
      <c r="N143" s="41"/>
      <c r="O143" s="31"/>
      <c r="P143" s="31"/>
      <c r="Q143" s="22"/>
      <c r="R143" s="22"/>
      <c r="S143" s="22"/>
      <c r="T143" s="22"/>
      <c r="U143" s="22"/>
      <c r="V143" s="32" t="s">
        <v>315</v>
      </c>
      <c r="W143" s="22"/>
      <c r="X143" s="22"/>
      <c r="Y143" s="29" t="s">
        <v>72</v>
      </c>
      <c r="Z143" s="22"/>
      <c r="AA143" s="37">
        <v>62.03</v>
      </c>
      <c r="AB143" s="42">
        <v>86.84</v>
      </c>
      <c r="AC143" s="31"/>
      <c r="AD143" s="32" t="s">
        <v>316</v>
      </c>
      <c r="AE143" s="22"/>
      <c r="AF143" s="29"/>
      <c r="AG143" s="40"/>
      <c r="AH143" s="40" t="str">
        <f t="shared" si="1"/>
        <v>RUUD</v>
      </c>
      <c r="AI143" s="39" t="s">
        <v>82</v>
      </c>
      <c r="AJ143" s="22"/>
    </row>
    <row r="144" ht="15.75" customHeight="1">
      <c r="A144" s="32" t="s">
        <v>77</v>
      </c>
      <c r="B144" s="32" t="s">
        <v>280</v>
      </c>
      <c r="C144" s="32" t="s">
        <v>79</v>
      </c>
      <c r="D144" s="22"/>
      <c r="E144" s="22"/>
      <c r="G144" s="22"/>
      <c r="H144" s="22"/>
      <c r="I144" s="22"/>
      <c r="J144" s="22"/>
      <c r="K144" s="22"/>
      <c r="L144" s="22"/>
      <c r="M144" s="41"/>
      <c r="N144" s="41"/>
      <c r="O144" s="31"/>
      <c r="P144" s="31"/>
      <c r="Q144" s="22"/>
      <c r="R144" s="22"/>
      <c r="S144" s="22"/>
      <c r="T144" s="22"/>
      <c r="U144" s="22"/>
      <c r="V144" s="32" t="s">
        <v>317</v>
      </c>
      <c r="W144" s="22"/>
      <c r="X144" s="22"/>
      <c r="Y144" s="29" t="s">
        <v>72</v>
      </c>
      <c r="Z144" s="22"/>
      <c r="AA144" s="37">
        <v>15.38</v>
      </c>
      <c r="AB144" s="42">
        <v>21.53</v>
      </c>
      <c r="AC144" s="31"/>
      <c r="AD144" s="32" t="s">
        <v>318</v>
      </c>
      <c r="AE144" s="22"/>
      <c r="AF144" s="29"/>
      <c r="AG144" s="40"/>
      <c r="AH144" s="40" t="str">
        <f t="shared" si="1"/>
        <v>RUUD</v>
      </c>
      <c r="AI144" s="39" t="s">
        <v>82</v>
      </c>
      <c r="AJ144" s="22"/>
    </row>
    <row r="145" ht="15.75" customHeight="1">
      <c r="A145" s="32" t="s">
        <v>77</v>
      </c>
      <c r="B145" s="32" t="s">
        <v>280</v>
      </c>
      <c r="C145" s="32" t="s">
        <v>79</v>
      </c>
      <c r="D145" s="22"/>
      <c r="E145" s="22"/>
      <c r="G145" s="22"/>
      <c r="H145" s="22"/>
      <c r="I145" s="22"/>
      <c r="J145" s="22"/>
      <c r="K145" s="22"/>
      <c r="L145" s="22"/>
      <c r="M145" s="41"/>
      <c r="N145" s="41"/>
      <c r="O145" s="31"/>
      <c r="P145" s="31"/>
      <c r="Q145" s="22"/>
      <c r="R145" s="22"/>
      <c r="S145" s="22"/>
      <c r="T145" s="22"/>
      <c r="U145" s="22"/>
      <c r="V145" s="32" t="s">
        <v>319</v>
      </c>
      <c r="W145" s="22"/>
      <c r="X145" s="22"/>
      <c r="Y145" s="29" t="s">
        <v>72</v>
      </c>
      <c r="Z145" s="22"/>
      <c r="AA145" s="37">
        <v>0.0</v>
      </c>
      <c r="AB145" s="42">
        <v>0.0</v>
      </c>
      <c r="AC145" s="31"/>
      <c r="AD145" s="32" t="s">
        <v>320</v>
      </c>
      <c r="AE145" s="22"/>
      <c r="AF145" s="29"/>
      <c r="AG145" s="40"/>
      <c r="AH145" s="40" t="str">
        <f t="shared" si="1"/>
        <v>RUUD</v>
      </c>
      <c r="AI145" s="39" t="s">
        <v>82</v>
      </c>
      <c r="AJ145" s="22"/>
    </row>
    <row r="146" ht="15.75" customHeight="1">
      <c r="A146" s="32" t="s">
        <v>77</v>
      </c>
      <c r="B146" s="32" t="s">
        <v>280</v>
      </c>
      <c r="C146" s="32" t="s">
        <v>79</v>
      </c>
      <c r="D146" s="22"/>
      <c r="E146" s="22"/>
      <c r="G146" s="22"/>
      <c r="H146" s="22"/>
      <c r="I146" s="22"/>
      <c r="J146" s="22"/>
      <c r="K146" s="22"/>
      <c r="L146" s="22"/>
      <c r="M146" s="41"/>
      <c r="N146" s="41"/>
      <c r="O146" s="31"/>
      <c r="P146" s="31"/>
      <c r="Q146" s="22"/>
      <c r="R146" s="22"/>
      <c r="S146" s="22"/>
      <c r="T146" s="22"/>
      <c r="U146" s="22"/>
      <c r="V146" s="32" t="s">
        <v>321</v>
      </c>
      <c r="W146" s="22"/>
      <c r="X146" s="22"/>
      <c r="Y146" s="29" t="s">
        <v>72</v>
      </c>
      <c r="Z146" s="22"/>
      <c r="AA146" s="37">
        <v>0.0</v>
      </c>
      <c r="AB146" s="42">
        <v>0.0</v>
      </c>
      <c r="AC146" s="31"/>
      <c r="AD146" s="32" t="s">
        <v>320</v>
      </c>
      <c r="AE146" s="22"/>
      <c r="AF146" s="29"/>
      <c r="AG146" s="40"/>
      <c r="AH146" s="40" t="str">
        <f t="shared" si="1"/>
        <v>RUUD</v>
      </c>
      <c r="AI146" s="39" t="s">
        <v>82</v>
      </c>
      <c r="AJ146" s="22"/>
    </row>
    <row r="147" ht="15.75" customHeight="1">
      <c r="A147" s="32" t="s">
        <v>77</v>
      </c>
      <c r="B147" s="32" t="s">
        <v>280</v>
      </c>
      <c r="C147" s="32" t="s">
        <v>79</v>
      </c>
      <c r="D147" s="22"/>
      <c r="E147" s="22"/>
      <c r="G147" s="22"/>
      <c r="H147" s="22"/>
      <c r="I147" s="22"/>
      <c r="J147" s="22"/>
      <c r="K147" s="22"/>
      <c r="L147" s="22"/>
      <c r="M147" s="41"/>
      <c r="N147" s="41"/>
      <c r="O147" s="31"/>
      <c r="P147" s="31"/>
      <c r="Q147" s="22"/>
      <c r="R147" s="22"/>
      <c r="S147" s="22"/>
      <c r="T147" s="22"/>
      <c r="U147" s="22"/>
      <c r="V147" s="32" t="s">
        <v>322</v>
      </c>
      <c r="W147" s="22"/>
      <c r="X147" s="22"/>
      <c r="Y147" s="29" t="s">
        <v>72</v>
      </c>
      <c r="Z147" s="22"/>
      <c r="AA147" s="37">
        <v>0.0</v>
      </c>
      <c r="AB147" s="42">
        <v>0.0</v>
      </c>
      <c r="AC147" s="31"/>
      <c r="AD147" s="32"/>
      <c r="AE147" s="22"/>
      <c r="AF147" s="29"/>
      <c r="AG147" s="40"/>
      <c r="AH147" s="40" t="str">
        <f t="shared" si="1"/>
        <v>RUUD</v>
      </c>
      <c r="AI147" s="39" t="s">
        <v>82</v>
      </c>
      <c r="AJ147" s="22"/>
    </row>
    <row r="148" ht="15.75" customHeight="1">
      <c r="A148" s="32" t="s">
        <v>77</v>
      </c>
      <c r="B148" s="32" t="s">
        <v>280</v>
      </c>
      <c r="C148" s="32" t="s">
        <v>79</v>
      </c>
      <c r="D148" s="22"/>
      <c r="E148" s="22"/>
      <c r="G148" s="22"/>
      <c r="H148" s="22"/>
      <c r="I148" s="22"/>
      <c r="J148" s="22"/>
      <c r="K148" s="22"/>
      <c r="L148" s="22"/>
      <c r="M148" s="41"/>
      <c r="N148" s="41"/>
      <c r="O148" s="31"/>
      <c r="P148" s="31"/>
      <c r="Q148" s="22"/>
      <c r="R148" s="22"/>
      <c r="S148" s="22"/>
      <c r="T148" s="22"/>
      <c r="U148" s="22"/>
      <c r="V148" s="32" t="s">
        <v>323</v>
      </c>
      <c r="W148" s="22"/>
      <c r="X148" s="22"/>
      <c r="Y148" s="29" t="s">
        <v>72</v>
      </c>
      <c r="Z148" s="22"/>
      <c r="AA148" s="37">
        <v>0.0</v>
      </c>
      <c r="AB148" s="42">
        <v>0.0</v>
      </c>
      <c r="AC148" s="31"/>
      <c r="AD148" s="32" t="s">
        <v>320</v>
      </c>
      <c r="AE148" s="22"/>
      <c r="AF148" s="22"/>
      <c r="AG148" s="40"/>
      <c r="AH148" s="40" t="str">
        <f t="shared" si="1"/>
        <v>RUUD</v>
      </c>
      <c r="AI148" s="39" t="s">
        <v>82</v>
      </c>
      <c r="AJ148" s="22"/>
    </row>
    <row r="149" ht="15.75" customHeight="1">
      <c r="A149" s="32" t="s">
        <v>77</v>
      </c>
      <c r="B149" s="32" t="s">
        <v>280</v>
      </c>
      <c r="C149" s="32" t="s">
        <v>79</v>
      </c>
      <c r="D149" s="22"/>
      <c r="E149" s="22"/>
      <c r="G149" s="22"/>
      <c r="H149" s="22"/>
      <c r="I149" s="22"/>
      <c r="J149" s="22"/>
      <c r="K149" s="22"/>
      <c r="L149" s="22"/>
      <c r="M149" s="41"/>
      <c r="N149" s="41"/>
      <c r="O149" s="31"/>
      <c r="P149" s="31"/>
      <c r="Q149" s="22"/>
      <c r="R149" s="22"/>
      <c r="S149" s="22"/>
      <c r="T149" s="22"/>
      <c r="U149" s="22"/>
      <c r="V149" s="32" t="s">
        <v>324</v>
      </c>
      <c r="W149" s="22"/>
      <c r="X149" s="22"/>
      <c r="Y149" s="29" t="s">
        <v>72</v>
      </c>
      <c r="Z149" s="22"/>
      <c r="AA149" s="37">
        <v>0.0</v>
      </c>
      <c r="AB149" s="42">
        <v>0.0</v>
      </c>
      <c r="AC149" s="31"/>
      <c r="AD149" s="32" t="s">
        <v>320</v>
      </c>
      <c r="AE149" s="22"/>
      <c r="AF149" s="22"/>
      <c r="AG149" s="40"/>
      <c r="AH149" s="40" t="str">
        <f t="shared" si="1"/>
        <v>RUUD</v>
      </c>
      <c r="AI149" s="39" t="s">
        <v>82</v>
      </c>
      <c r="AJ149" s="22"/>
    </row>
    <row r="150" ht="15.75" customHeight="1">
      <c r="A150" s="32" t="s">
        <v>77</v>
      </c>
      <c r="B150" s="32" t="s">
        <v>280</v>
      </c>
      <c r="C150" s="32" t="s">
        <v>79</v>
      </c>
      <c r="D150" s="22"/>
      <c r="E150" s="22"/>
      <c r="G150" s="22"/>
      <c r="H150" s="22"/>
      <c r="I150" s="22"/>
      <c r="J150" s="22"/>
      <c r="K150" s="22"/>
      <c r="L150" s="22"/>
      <c r="M150" s="41"/>
      <c r="N150" s="41"/>
      <c r="O150" s="31"/>
      <c r="P150" s="31"/>
      <c r="Q150" s="22"/>
      <c r="R150" s="22"/>
      <c r="S150" s="22"/>
      <c r="T150" s="22"/>
      <c r="U150" s="22"/>
      <c r="V150" s="32" t="s">
        <v>325</v>
      </c>
      <c r="W150" s="22"/>
      <c r="X150" s="22"/>
      <c r="Y150" s="29" t="s">
        <v>72</v>
      </c>
      <c r="Z150" s="22"/>
      <c r="AA150" s="37">
        <v>0.0</v>
      </c>
      <c r="AB150" s="42">
        <v>0.0</v>
      </c>
      <c r="AC150" s="31"/>
      <c r="AD150" s="32" t="s">
        <v>326</v>
      </c>
      <c r="AE150" s="22"/>
      <c r="AF150" s="22"/>
      <c r="AG150" s="40"/>
      <c r="AH150" s="40" t="str">
        <f t="shared" si="1"/>
        <v>RUUD</v>
      </c>
      <c r="AI150" s="39" t="s">
        <v>82</v>
      </c>
      <c r="AJ150" s="22"/>
    </row>
    <row r="151" ht="15.75" customHeight="1">
      <c r="A151" s="32" t="s">
        <v>77</v>
      </c>
      <c r="B151" s="32" t="s">
        <v>280</v>
      </c>
      <c r="C151" s="32" t="s">
        <v>79</v>
      </c>
      <c r="D151" s="22"/>
      <c r="E151" s="22"/>
      <c r="G151" s="22"/>
      <c r="H151" s="22"/>
      <c r="I151" s="22"/>
      <c r="J151" s="22"/>
      <c r="K151" s="22"/>
      <c r="L151" s="22"/>
      <c r="M151" s="41"/>
      <c r="N151" s="41"/>
      <c r="O151" s="31"/>
      <c r="P151" s="31"/>
      <c r="Q151" s="22"/>
      <c r="R151" s="22"/>
      <c r="S151" s="22"/>
      <c r="T151" s="22"/>
      <c r="U151" s="22"/>
      <c r="V151" s="32" t="s">
        <v>327</v>
      </c>
      <c r="W151" s="22"/>
      <c r="X151" s="22"/>
      <c r="Y151" s="29" t="s">
        <v>72</v>
      </c>
      <c r="Z151" s="22"/>
      <c r="AA151" s="37">
        <v>0.0</v>
      </c>
      <c r="AB151" s="42">
        <v>0.0</v>
      </c>
      <c r="AC151" s="31"/>
      <c r="AD151" s="32" t="s">
        <v>328</v>
      </c>
      <c r="AE151" s="22"/>
      <c r="AF151" s="22"/>
      <c r="AG151" s="40"/>
      <c r="AH151" s="40" t="str">
        <f t="shared" si="1"/>
        <v>RUUD</v>
      </c>
      <c r="AI151" s="39" t="s">
        <v>82</v>
      </c>
      <c r="AJ151" s="22"/>
    </row>
    <row r="152" ht="15.75" customHeight="1">
      <c r="A152" s="32" t="s">
        <v>77</v>
      </c>
      <c r="B152" s="32" t="s">
        <v>280</v>
      </c>
      <c r="C152" s="32" t="s">
        <v>79</v>
      </c>
      <c r="D152" s="22"/>
      <c r="E152" s="22"/>
      <c r="G152" s="22"/>
      <c r="H152" s="22"/>
      <c r="I152" s="22"/>
      <c r="J152" s="22"/>
      <c r="K152" s="22"/>
      <c r="L152" s="22"/>
      <c r="M152" s="41"/>
      <c r="N152" s="41"/>
      <c r="O152" s="31"/>
      <c r="P152" s="31"/>
      <c r="Q152" s="22"/>
      <c r="R152" s="22"/>
      <c r="S152" s="22"/>
      <c r="T152" s="22"/>
      <c r="U152" s="22"/>
      <c r="V152" s="32" t="s">
        <v>329</v>
      </c>
      <c r="W152" s="22"/>
      <c r="X152" s="22"/>
      <c r="Y152" s="29" t="s">
        <v>72</v>
      </c>
      <c r="Z152" s="22"/>
      <c r="AA152" s="37">
        <v>0.0</v>
      </c>
      <c r="AB152" s="42">
        <v>0.0</v>
      </c>
      <c r="AC152" s="31"/>
      <c r="AD152" s="32" t="s">
        <v>326</v>
      </c>
      <c r="AE152" s="22"/>
      <c r="AF152" s="22"/>
      <c r="AG152" s="40"/>
      <c r="AH152" s="40" t="str">
        <f t="shared" si="1"/>
        <v>RUUD</v>
      </c>
      <c r="AI152" s="39" t="s">
        <v>82</v>
      </c>
      <c r="AJ152" s="22"/>
    </row>
    <row r="153" ht="15.75" customHeight="1">
      <c r="A153" s="32" t="s">
        <v>77</v>
      </c>
      <c r="B153" s="32" t="s">
        <v>280</v>
      </c>
      <c r="C153" s="32" t="s">
        <v>79</v>
      </c>
      <c r="D153" s="22"/>
      <c r="E153" s="22"/>
      <c r="G153" s="22"/>
      <c r="H153" s="22"/>
      <c r="I153" s="22"/>
      <c r="J153" s="22"/>
      <c r="K153" s="22"/>
      <c r="L153" s="22"/>
      <c r="M153" s="41"/>
      <c r="N153" s="41"/>
      <c r="O153" s="31"/>
      <c r="P153" s="31"/>
      <c r="Q153" s="22"/>
      <c r="R153" s="22"/>
      <c r="S153" s="22"/>
      <c r="T153" s="22"/>
      <c r="U153" s="22"/>
      <c r="V153" s="32" t="s">
        <v>330</v>
      </c>
      <c r="W153" s="22"/>
      <c r="X153" s="22"/>
      <c r="Y153" s="29" t="s">
        <v>72</v>
      </c>
      <c r="Z153" s="22"/>
      <c r="AA153" s="37">
        <v>41.66</v>
      </c>
      <c r="AB153" s="42">
        <v>58.32</v>
      </c>
      <c r="AC153" s="31"/>
      <c r="AD153" s="32" t="s">
        <v>331</v>
      </c>
      <c r="AE153" s="22"/>
      <c r="AF153" s="22"/>
      <c r="AG153" s="40"/>
      <c r="AH153" s="40" t="str">
        <f t="shared" si="1"/>
        <v>RUUD</v>
      </c>
      <c r="AI153" s="39" t="s">
        <v>82</v>
      </c>
      <c r="AJ153" s="22"/>
    </row>
    <row r="154" ht="15.75" customHeight="1">
      <c r="A154" s="32" t="s">
        <v>77</v>
      </c>
      <c r="B154" s="32" t="s">
        <v>280</v>
      </c>
      <c r="C154" s="32" t="s">
        <v>79</v>
      </c>
      <c r="D154" s="22"/>
      <c r="E154" s="22"/>
      <c r="G154" s="22"/>
      <c r="H154" s="22"/>
      <c r="I154" s="22"/>
      <c r="J154" s="22"/>
      <c r="K154" s="22"/>
      <c r="L154" s="22"/>
      <c r="M154" s="41"/>
      <c r="N154" s="41"/>
      <c r="O154" s="31"/>
      <c r="P154" s="31"/>
      <c r="Q154" s="22"/>
      <c r="R154" s="22"/>
      <c r="S154" s="22"/>
      <c r="T154" s="22"/>
      <c r="U154" s="22"/>
      <c r="V154" s="32" t="s">
        <v>332</v>
      </c>
      <c r="W154" s="22"/>
      <c r="X154" s="22"/>
      <c r="Y154" s="29" t="s">
        <v>72</v>
      </c>
      <c r="Z154" s="22"/>
      <c r="AA154" s="37">
        <v>2992.12</v>
      </c>
      <c r="AB154" s="42">
        <v>4188.96</v>
      </c>
      <c r="AC154" s="31"/>
      <c r="AD154" s="32" t="s">
        <v>333</v>
      </c>
      <c r="AE154" s="22"/>
      <c r="AF154" s="29" t="s">
        <v>85</v>
      </c>
      <c r="AG154" s="40"/>
      <c r="AH154" s="40" t="str">
        <f t="shared" si="1"/>
        <v>RUUD</v>
      </c>
      <c r="AI154" s="39" t="s">
        <v>82</v>
      </c>
      <c r="AJ154" s="22"/>
    </row>
    <row r="155" ht="15.75" customHeight="1">
      <c r="A155" s="32" t="s">
        <v>77</v>
      </c>
      <c r="B155" s="32" t="s">
        <v>280</v>
      </c>
      <c r="C155" s="32" t="s">
        <v>79</v>
      </c>
      <c r="D155" s="22"/>
      <c r="E155" s="22"/>
      <c r="G155" s="22"/>
      <c r="H155" s="22"/>
      <c r="I155" s="22"/>
      <c r="J155" s="22"/>
      <c r="K155" s="22"/>
      <c r="L155" s="22"/>
      <c r="M155" s="41"/>
      <c r="N155" s="41"/>
      <c r="O155" s="31"/>
      <c r="P155" s="31"/>
      <c r="Q155" s="22"/>
      <c r="R155" s="22"/>
      <c r="S155" s="22"/>
      <c r="T155" s="22"/>
      <c r="U155" s="22"/>
      <c r="V155" s="32" t="s">
        <v>334</v>
      </c>
      <c r="W155" s="22"/>
      <c r="X155" s="22"/>
      <c r="Y155" s="29" t="s">
        <v>72</v>
      </c>
      <c r="Z155" s="22"/>
      <c r="AA155" s="37">
        <v>3028.45</v>
      </c>
      <c r="AB155" s="42">
        <v>4239.83</v>
      </c>
      <c r="AC155" s="31"/>
      <c r="AD155" s="32" t="s">
        <v>335</v>
      </c>
      <c r="AE155" s="22"/>
      <c r="AF155" s="29" t="s">
        <v>85</v>
      </c>
      <c r="AG155" s="40"/>
      <c r="AH155" s="40" t="str">
        <f t="shared" si="1"/>
        <v>RUUD</v>
      </c>
      <c r="AI155" s="39" t="s">
        <v>82</v>
      </c>
      <c r="AJ155" s="22"/>
    </row>
    <row r="156" ht="15.75" customHeight="1">
      <c r="A156" s="32" t="s">
        <v>77</v>
      </c>
      <c r="B156" s="32" t="s">
        <v>280</v>
      </c>
      <c r="C156" s="32" t="s">
        <v>79</v>
      </c>
      <c r="D156" s="22"/>
      <c r="E156" s="22"/>
      <c r="G156" s="22"/>
      <c r="H156" s="22"/>
      <c r="I156" s="22"/>
      <c r="J156" s="22"/>
      <c r="K156" s="22"/>
      <c r="L156" s="22"/>
      <c r="M156" s="41"/>
      <c r="N156" s="41"/>
      <c r="O156" s="31"/>
      <c r="P156" s="31"/>
      <c r="Q156" s="22"/>
      <c r="R156" s="22"/>
      <c r="S156" s="22"/>
      <c r="T156" s="22"/>
      <c r="U156" s="22"/>
      <c r="V156" s="32" t="s">
        <v>336</v>
      </c>
      <c r="W156" s="22"/>
      <c r="X156" s="22"/>
      <c r="Y156" s="29" t="s">
        <v>72</v>
      </c>
      <c r="Z156" s="22"/>
      <c r="AA156" s="37">
        <v>3576.47</v>
      </c>
      <c r="AB156" s="42">
        <v>5007.06</v>
      </c>
      <c r="AC156" s="31"/>
      <c r="AD156" s="32" t="s">
        <v>337</v>
      </c>
      <c r="AE156" s="22"/>
      <c r="AF156" s="29" t="s">
        <v>85</v>
      </c>
      <c r="AG156" s="40"/>
      <c r="AH156" s="40" t="str">
        <f t="shared" si="1"/>
        <v>RUUD</v>
      </c>
      <c r="AI156" s="39" t="s">
        <v>82</v>
      </c>
      <c r="AJ156" s="22"/>
    </row>
    <row r="157" ht="15.75" customHeight="1">
      <c r="A157" s="32" t="s">
        <v>77</v>
      </c>
      <c r="B157" s="32" t="s">
        <v>280</v>
      </c>
      <c r="C157" s="32" t="s">
        <v>79</v>
      </c>
      <c r="D157" s="22"/>
      <c r="E157" s="22"/>
      <c r="G157" s="22"/>
      <c r="H157" s="22"/>
      <c r="I157" s="22"/>
      <c r="J157" s="22"/>
      <c r="K157" s="22"/>
      <c r="L157" s="22"/>
      <c r="M157" s="41"/>
      <c r="N157" s="41"/>
      <c r="O157" s="31"/>
      <c r="P157" s="31"/>
      <c r="Q157" s="22"/>
      <c r="R157" s="22"/>
      <c r="S157" s="22"/>
      <c r="T157" s="22"/>
      <c r="U157" s="22"/>
      <c r="V157" s="32" t="s">
        <v>338</v>
      </c>
      <c r="W157" s="22"/>
      <c r="X157" s="22"/>
      <c r="Y157" s="29" t="s">
        <v>72</v>
      </c>
      <c r="Z157" s="22"/>
      <c r="AA157" s="37">
        <v>3915.29</v>
      </c>
      <c r="AB157" s="42">
        <v>5481.41</v>
      </c>
      <c r="AC157" s="31"/>
      <c r="AD157" s="32" t="s">
        <v>339</v>
      </c>
      <c r="AE157" s="22"/>
      <c r="AF157" s="29" t="s">
        <v>85</v>
      </c>
      <c r="AG157" s="40"/>
      <c r="AH157" s="40" t="str">
        <f t="shared" si="1"/>
        <v>RUUD</v>
      </c>
      <c r="AI157" s="39" t="s">
        <v>82</v>
      </c>
      <c r="AJ157" s="22"/>
    </row>
    <row r="158" ht="15.75" customHeight="1">
      <c r="A158" s="32" t="s">
        <v>77</v>
      </c>
      <c r="B158" s="32" t="s">
        <v>280</v>
      </c>
      <c r="C158" s="32" t="s">
        <v>79</v>
      </c>
      <c r="D158" s="22"/>
      <c r="E158" s="22"/>
      <c r="G158" s="22"/>
      <c r="H158" s="22"/>
      <c r="I158" s="22"/>
      <c r="J158" s="22"/>
      <c r="K158" s="22"/>
      <c r="L158" s="22"/>
      <c r="M158" s="41"/>
      <c r="N158" s="41"/>
      <c r="O158" s="31"/>
      <c r="P158" s="31"/>
      <c r="Q158" s="22"/>
      <c r="R158" s="22"/>
      <c r="S158" s="22"/>
      <c r="T158" s="22"/>
      <c r="U158" s="22"/>
      <c r="V158" s="32" t="s">
        <v>315</v>
      </c>
      <c r="W158" s="22"/>
      <c r="X158" s="22"/>
      <c r="Y158" s="29" t="s">
        <v>72</v>
      </c>
      <c r="Z158" s="22"/>
      <c r="AA158" s="37">
        <v>62.03</v>
      </c>
      <c r="AB158" s="42">
        <v>86.84</v>
      </c>
      <c r="AC158" s="31"/>
      <c r="AD158" s="32" t="s">
        <v>316</v>
      </c>
      <c r="AE158" s="22"/>
      <c r="AF158" s="29"/>
      <c r="AG158" s="40"/>
      <c r="AH158" s="40" t="str">
        <f t="shared" si="1"/>
        <v>RUUD</v>
      </c>
      <c r="AI158" s="39" t="s">
        <v>82</v>
      </c>
      <c r="AJ158" s="22"/>
    </row>
    <row r="159" ht="15.75" customHeight="1">
      <c r="A159" s="32" t="s">
        <v>77</v>
      </c>
      <c r="B159" s="32" t="s">
        <v>280</v>
      </c>
      <c r="C159" s="32" t="s">
        <v>79</v>
      </c>
      <c r="D159" s="22"/>
      <c r="E159" s="22"/>
      <c r="G159" s="22"/>
      <c r="H159" s="22"/>
      <c r="I159" s="22"/>
      <c r="J159" s="22"/>
      <c r="K159" s="22"/>
      <c r="L159" s="22"/>
      <c r="M159" s="41"/>
      <c r="N159" s="41"/>
      <c r="O159" s="31"/>
      <c r="P159" s="31"/>
      <c r="Q159" s="22"/>
      <c r="R159" s="22"/>
      <c r="S159" s="22"/>
      <c r="T159" s="22"/>
      <c r="U159" s="22"/>
      <c r="V159" s="32" t="s">
        <v>317</v>
      </c>
      <c r="W159" s="22"/>
      <c r="X159" s="22"/>
      <c r="Y159" s="29" t="s">
        <v>72</v>
      </c>
      <c r="Z159" s="22"/>
      <c r="AA159" s="37">
        <v>15.38</v>
      </c>
      <c r="AB159" s="42">
        <v>21.53</v>
      </c>
      <c r="AC159" s="31"/>
      <c r="AD159" s="32" t="s">
        <v>318</v>
      </c>
      <c r="AE159" s="22"/>
      <c r="AF159" s="29"/>
      <c r="AG159" s="40"/>
      <c r="AH159" s="40" t="str">
        <f t="shared" si="1"/>
        <v>RUUD</v>
      </c>
      <c r="AI159" s="39" t="s">
        <v>82</v>
      </c>
      <c r="AJ159" s="22"/>
    </row>
    <row r="160" ht="15.75" customHeight="1">
      <c r="A160" s="32" t="s">
        <v>77</v>
      </c>
      <c r="B160" s="32" t="s">
        <v>280</v>
      </c>
      <c r="C160" s="32" t="s">
        <v>79</v>
      </c>
      <c r="D160" s="22"/>
      <c r="E160" s="22"/>
      <c r="G160" s="22"/>
      <c r="H160" s="22"/>
      <c r="I160" s="22"/>
      <c r="J160" s="22"/>
      <c r="K160" s="22"/>
      <c r="L160" s="22"/>
      <c r="M160" s="41"/>
      <c r="N160" s="41"/>
      <c r="O160" s="31"/>
      <c r="P160" s="31"/>
      <c r="Q160" s="22"/>
      <c r="R160" s="22"/>
      <c r="S160" s="22"/>
      <c r="T160" s="22"/>
      <c r="U160" s="22"/>
      <c r="V160" s="32" t="s">
        <v>319</v>
      </c>
      <c r="W160" s="22"/>
      <c r="X160" s="22"/>
      <c r="Y160" s="29" t="s">
        <v>72</v>
      </c>
      <c r="Z160" s="22"/>
      <c r="AA160" s="37">
        <v>0.0</v>
      </c>
      <c r="AB160" s="42">
        <v>0.0</v>
      </c>
      <c r="AC160" s="31"/>
      <c r="AD160" s="32" t="s">
        <v>320</v>
      </c>
      <c r="AE160" s="22"/>
      <c r="AF160" s="29"/>
      <c r="AG160" s="40"/>
      <c r="AH160" s="40" t="str">
        <f t="shared" si="1"/>
        <v>RUUD</v>
      </c>
      <c r="AI160" s="39" t="s">
        <v>82</v>
      </c>
      <c r="AJ160" s="22"/>
    </row>
    <row r="161" ht="15.75" customHeight="1">
      <c r="A161" s="32" t="s">
        <v>77</v>
      </c>
      <c r="B161" s="32" t="s">
        <v>280</v>
      </c>
      <c r="C161" s="32" t="s">
        <v>79</v>
      </c>
      <c r="D161" s="22"/>
      <c r="E161" s="22"/>
      <c r="G161" s="22"/>
      <c r="H161" s="22"/>
      <c r="I161" s="22"/>
      <c r="J161" s="22"/>
      <c r="K161" s="22"/>
      <c r="L161" s="22"/>
      <c r="M161" s="41"/>
      <c r="N161" s="41"/>
      <c r="O161" s="31"/>
      <c r="P161" s="31"/>
      <c r="Q161" s="22"/>
      <c r="R161" s="22"/>
      <c r="S161" s="22"/>
      <c r="T161" s="22"/>
      <c r="U161" s="22"/>
      <c r="V161" s="32" t="s">
        <v>321</v>
      </c>
      <c r="W161" s="22"/>
      <c r="X161" s="22"/>
      <c r="Y161" s="29" t="s">
        <v>72</v>
      </c>
      <c r="Z161" s="22"/>
      <c r="AA161" s="37">
        <v>0.0</v>
      </c>
      <c r="AB161" s="42">
        <v>0.0</v>
      </c>
      <c r="AC161" s="31"/>
      <c r="AD161" s="32" t="s">
        <v>320</v>
      </c>
      <c r="AE161" s="22"/>
      <c r="AF161" s="29"/>
      <c r="AG161" s="40"/>
      <c r="AH161" s="40" t="str">
        <f t="shared" si="1"/>
        <v>RUUD</v>
      </c>
      <c r="AI161" s="39" t="s">
        <v>82</v>
      </c>
      <c r="AJ161" s="22"/>
    </row>
    <row r="162" ht="15.75" customHeight="1">
      <c r="A162" s="32" t="s">
        <v>77</v>
      </c>
      <c r="B162" s="32" t="s">
        <v>280</v>
      </c>
      <c r="C162" s="32" t="s">
        <v>79</v>
      </c>
      <c r="D162" s="22"/>
      <c r="E162" s="22"/>
      <c r="G162" s="22"/>
      <c r="H162" s="22"/>
      <c r="I162" s="22"/>
      <c r="J162" s="22"/>
      <c r="K162" s="22"/>
      <c r="L162" s="22"/>
      <c r="M162" s="41"/>
      <c r="N162" s="41"/>
      <c r="O162" s="31"/>
      <c r="P162" s="31"/>
      <c r="Q162" s="22"/>
      <c r="R162" s="22"/>
      <c r="S162" s="22"/>
      <c r="T162" s="22"/>
      <c r="U162" s="22"/>
      <c r="V162" s="32" t="s">
        <v>323</v>
      </c>
      <c r="W162" s="22"/>
      <c r="X162" s="22"/>
      <c r="Y162" s="29" t="s">
        <v>72</v>
      </c>
      <c r="Z162" s="22"/>
      <c r="AA162" s="37">
        <v>0.0</v>
      </c>
      <c r="AB162" s="42">
        <v>0.0</v>
      </c>
      <c r="AC162" s="31"/>
      <c r="AD162" s="32" t="s">
        <v>320</v>
      </c>
      <c r="AE162" s="22"/>
      <c r="AF162" s="22"/>
      <c r="AG162" s="40"/>
      <c r="AH162" s="40" t="str">
        <f t="shared" si="1"/>
        <v>RUUD</v>
      </c>
      <c r="AI162" s="39" t="s">
        <v>82</v>
      </c>
      <c r="AJ162" s="22"/>
    </row>
    <row r="163" ht="15.75" customHeight="1">
      <c r="A163" s="32" t="s">
        <v>77</v>
      </c>
      <c r="B163" s="32" t="s">
        <v>280</v>
      </c>
      <c r="C163" s="32" t="s">
        <v>79</v>
      </c>
      <c r="D163" s="22"/>
      <c r="E163" s="22"/>
      <c r="G163" s="22"/>
      <c r="H163" s="22"/>
      <c r="I163" s="22"/>
      <c r="J163" s="22"/>
      <c r="K163" s="22"/>
      <c r="L163" s="22"/>
      <c r="M163" s="41"/>
      <c r="N163" s="41"/>
      <c r="O163" s="31"/>
      <c r="P163" s="31"/>
      <c r="Q163" s="22"/>
      <c r="R163" s="22"/>
      <c r="S163" s="22"/>
      <c r="T163" s="22"/>
      <c r="U163" s="22"/>
      <c r="V163" s="32" t="s">
        <v>324</v>
      </c>
      <c r="W163" s="22"/>
      <c r="X163" s="22"/>
      <c r="Y163" s="29" t="s">
        <v>72</v>
      </c>
      <c r="Z163" s="22"/>
      <c r="AA163" s="37">
        <v>0.0</v>
      </c>
      <c r="AB163" s="42">
        <v>0.0</v>
      </c>
      <c r="AC163" s="31"/>
      <c r="AD163" s="32" t="s">
        <v>320</v>
      </c>
      <c r="AE163" s="22"/>
      <c r="AF163" s="22"/>
      <c r="AG163" s="40"/>
      <c r="AH163" s="40" t="str">
        <f t="shared" si="1"/>
        <v>RUUD</v>
      </c>
      <c r="AI163" s="39" t="s">
        <v>82</v>
      </c>
      <c r="AJ163" s="22"/>
    </row>
    <row r="164" ht="15.75" customHeight="1">
      <c r="A164" s="32" t="s">
        <v>77</v>
      </c>
      <c r="B164" s="32" t="s">
        <v>280</v>
      </c>
      <c r="C164" s="32" t="s">
        <v>79</v>
      </c>
      <c r="D164" s="22"/>
      <c r="E164" s="22"/>
      <c r="G164" s="22"/>
      <c r="H164" s="22"/>
      <c r="I164" s="22"/>
      <c r="J164" s="22"/>
      <c r="K164" s="22"/>
      <c r="L164" s="22"/>
      <c r="M164" s="41"/>
      <c r="N164" s="41"/>
      <c r="O164" s="31"/>
      <c r="P164" s="31"/>
      <c r="Q164" s="22"/>
      <c r="R164" s="22"/>
      <c r="S164" s="22"/>
      <c r="T164" s="22"/>
      <c r="U164" s="22"/>
      <c r="V164" s="32" t="s">
        <v>340</v>
      </c>
      <c r="W164" s="22"/>
      <c r="X164" s="22"/>
      <c r="Y164" s="29" t="s">
        <v>72</v>
      </c>
      <c r="Z164" s="22"/>
      <c r="AA164" s="37">
        <v>0.0</v>
      </c>
      <c r="AB164" s="42">
        <v>0.0</v>
      </c>
      <c r="AC164" s="31"/>
      <c r="AD164" s="32" t="s">
        <v>326</v>
      </c>
      <c r="AE164" s="22"/>
      <c r="AF164" s="22"/>
      <c r="AG164" s="40"/>
      <c r="AH164" s="40" t="str">
        <f t="shared" si="1"/>
        <v>RUUD</v>
      </c>
      <c r="AI164" s="39" t="s">
        <v>82</v>
      </c>
      <c r="AJ164" s="22"/>
    </row>
    <row r="165" ht="15.75" customHeight="1">
      <c r="A165" s="32" t="s">
        <v>77</v>
      </c>
      <c r="B165" s="32" t="s">
        <v>280</v>
      </c>
      <c r="C165" s="32" t="s">
        <v>79</v>
      </c>
      <c r="D165" s="22"/>
      <c r="E165" s="22"/>
      <c r="G165" s="22"/>
      <c r="H165" s="22"/>
      <c r="I165" s="22"/>
      <c r="J165" s="22"/>
      <c r="K165" s="22"/>
      <c r="L165" s="22"/>
      <c r="M165" s="41"/>
      <c r="N165" s="41"/>
      <c r="O165" s="31"/>
      <c r="P165" s="31"/>
      <c r="Q165" s="22"/>
      <c r="R165" s="22"/>
      <c r="S165" s="22"/>
      <c r="T165" s="22"/>
      <c r="U165" s="22"/>
      <c r="V165" s="32" t="s">
        <v>341</v>
      </c>
      <c r="W165" s="22"/>
      <c r="X165" s="22"/>
      <c r="Y165" s="29" t="s">
        <v>72</v>
      </c>
      <c r="Z165" s="22"/>
      <c r="AA165" s="37">
        <v>0.0</v>
      </c>
      <c r="AB165" s="42">
        <v>0.0</v>
      </c>
      <c r="AC165" s="31"/>
      <c r="AD165" s="32" t="s">
        <v>328</v>
      </c>
      <c r="AE165" s="22"/>
      <c r="AF165" s="22"/>
      <c r="AG165" s="40"/>
      <c r="AH165" s="40" t="str">
        <f t="shared" si="1"/>
        <v>RUUD</v>
      </c>
      <c r="AI165" s="39" t="s">
        <v>82</v>
      </c>
      <c r="AJ165" s="22"/>
    </row>
    <row r="166" ht="15.75" customHeight="1">
      <c r="A166" s="32" t="s">
        <v>77</v>
      </c>
      <c r="B166" s="32" t="s">
        <v>280</v>
      </c>
      <c r="C166" s="32" t="s">
        <v>79</v>
      </c>
      <c r="D166" s="22"/>
      <c r="E166" s="22"/>
      <c r="G166" s="22"/>
      <c r="H166" s="22"/>
      <c r="I166" s="22"/>
      <c r="J166" s="22"/>
      <c r="K166" s="22"/>
      <c r="L166" s="22"/>
      <c r="M166" s="41"/>
      <c r="N166" s="41"/>
      <c r="O166" s="31"/>
      <c r="P166" s="31"/>
      <c r="Q166" s="22"/>
      <c r="R166" s="22"/>
      <c r="S166" s="22"/>
      <c r="T166" s="22"/>
      <c r="U166" s="22"/>
      <c r="V166" s="32" t="s">
        <v>342</v>
      </c>
      <c r="W166" s="22"/>
      <c r="X166" s="22"/>
      <c r="Y166" s="29" t="s">
        <v>72</v>
      </c>
      <c r="Z166" s="22"/>
      <c r="AA166" s="37">
        <v>0.0</v>
      </c>
      <c r="AB166" s="42">
        <v>0.0</v>
      </c>
      <c r="AC166" s="31"/>
      <c r="AD166" s="32" t="s">
        <v>326</v>
      </c>
      <c r="AE166" s="22"/>
      <c r="AF166" s="22"/>
      <c r="AG166" s="40"/>
      <c r="AH166" s="40" t="str">
        <f t="shared" si="1"/>
        <v>RUUD</v>
      </c>
      <c r="AI166" s="39" t="s">
        <v>82</v>
      </c>
      <c r="AJ166" s="22"/>
    </row>
    <row r="167" ht="15.75" customHeight="1">
      <c r="A167" s="32" t="s">
        <v>77</v>
      </c>
      <c r="B167" s="32" t="s">
        <v>280</v>
      </c>
      <c r="C167" s="32" t="s">
        <v>79</v>
      </c>
      <c r="D167" s="22"/>
      <c r="E167" s="22"/>
      <c r="G167" s="22"/>
      <c r="H167" s="22"/>
      <c r="I167" s="22"/>
      <c r="J167" s="22"/>
      <c r="K167" s="22"/>
      <c r="L167" s="22"/>
      <c r="M167" s="41"/>
      <c r="N167" s="41"/>
      <c r="O167" s="31"/>
      <c r="P167" s="31"/>
      <c r="Q167" s="22"/>
      <c r="R167" s="22"/>
      <c r="S167" s="22"/>
      <c r="T167" s="22"/>
      <c r="U167" s="22"/>
      <c r="V167" s="32" t="s">
        <v>343</v>
      </c>
      <c r="W167" s="22"/>
      <c r="X167" s="22"/>
      <c r="Y167" s="29" t="s">
        <v>72</v>
      </c>
      <c r="Z167" s="22"/>
      <c r="AA167" s="37">
        <v>41.66</v>
      </c>
      <c r="AB167" s="42">
        <v>58.32</v>
      </c>
      <c r="AC167" s="31"/>
      <c r="AD167" s="32" t="s">
        <v>331</v>
      </c>
      <c r="AE167" s="22"/>
      <c r="AF167" s="22"/>
      <c r="AG167" s="40"/>
      <c r="AH167" s="40" t="str">
        <f t="shared" si="1"/>
        <v>RUUD</v>
      </c>
      <c r="AI167" s="39" t="s">
        <v>82</v>
      </c>
      <c r="AJ167" s="22"/>
    </row>
    <row r="168" ht="15.75" customHeight="1">
      <c r="A168" s="32" t="s">
        <v>77</v>
      </c>
      <c r="B168" s="32" t="s">
        <v>344</v>
      </c>
      <c r="C168" s="32" t="s">
        <v>79</v>
      </c>
      <c r="D168" s="22"/>
      <c r="E168" s="22"/>
      <c r="G168" s="22"/>
      <c r="H168" s="22"/>
      <c r="I168" s="22"/>
      <c r="J168" s="22"/>
      <c r="K168" s="22"/>
      <c r="L168" s="22"/>
      <c r="M168" s="41"/>
      <c r="N168" s="41"/>
      <c r="O168" s="31"/>
      <c r="P168" s="31"/>
      <c r="Q168" s="22"/>
      <c r="R168" s="22"/>
      <c r="S168" s="22"/>
      <c r="T168" s="22"/>
      <c r="U168" s="22"/>
      <c r="V168" s="32" t="s">
        <v>345</v>
      </c>
      <c r="W168" s="22"/>
      <c r="X168" s="22"/>
      <c r="Y168" s="29" t="s">
        <v>72</v>
      </c>
      <c r="Z168" s="22"/>
      <c r="AA168" s="37">
        <v>288.66</v>
      </c>
      <c r="AB168" s="42">
        <v>404.12</v>
      </c>
      <c r="AC168" s="31"/>
      <c r="AD168" s="32" t="s">
        <v>346</v>
      </c>
      <c r="AE168" s="22"/>
      <c r="AF168" s="22"/>
      <c r="AG168" s="40"/>
      <c r="AH168" s="40" t="str">
        <f t="shared" si="1"/>
        <v>RUUD</v>
      </c>
      <c r="AI168" s="39" t="s">
        <v>82</v>
      </c>
      <c r="AJ168" s="22"/>
    </row>
    <row r="169" ht="15.75" customHeight="1">
      <c r="A169" s="32" t="s">
        <v>77</v>
      </c>
      <c r="B169" s="32" t="s">
        <v>344</v>
      </c>
      <c r="C169" s="32" t="s">
        <v>79</v>
      </c>
      <c r="D169" s="22"/>
      <c r="E169" s="22"/>
      <c r="G169" s="22"/>
      <c r="H169" s="22"/>
      <c r="I169" s="22"/>
      <c r="J169" s="22"/>
      <c r="K169" s="22"/>
      <c r="L169" s="22"/>
      <c r="M169" s="41"/>
      <c r="N169" s="41"/>
      <c r="O169" s="31"/>
      <c r="P169" s="31"/>
      <c r="Q169" s="22"/>
      <c r="R169" s="22"/>
      <c r="S169" s="22"/>
      <c r="T169" s="22"/>
      <c r="U169" s="22"/>
      <c r="V169" s="32" t="s">
        <v>347</v>
      </c>
      <c r="W169" s="22"/>
      <c r="X169" s="22"/>
      <c r="Y169" s="29" t="s">
        <v>72</v>
      </c>
      <c r="Z169" s="22"/>
      <c r="AA169" s="37">
        <v>251.95</v>
      </c>
      <c r="AB169" s="42">
        <v>352.73</v>
      </c>
      <c r="AC169" s="31"/>
      <c r="AD169" s="32" t="s">
        <v>348</v>
      </c>
      <c r="AE169" s="22"/>
      <c r="AF169" s="22"/>
      <c r="AG169" s="40"/>
      <c r="AH169" s="40" t="str">
        <f t="shared" si="1"/>
        <v>RUUD</v>
      </c>
      <c r="AI169" s="39" t="s">
        <v>82</v>
      </c>
      <c r="AJ169" s="22"/>
    </row>
    <row r="170" ht="15.75" customHeight="1">
      <c r="A170" s="32" t="s">
        <v>77</v>
      </c>
      <c r="B170" s="32" t="s">
        <v>344</v>
      </c>
      <c r="C170" s="32" t="s">
        <v>79</v>
      </c>
      <c r="D170" s="22"/>
      <c r="E170" s="22"/>
      <c r="G170" s="22"/>
      <c r="H170" s="22"/>
      <c r="I170" s="22"/>
      <c r="J170" s="22"/>
      <c r="K170" s="22"/>
      <c r="L170" s="22"/>
      <c r="M170" s="41"/>
      <c r="N170" s="41"/>
      <c r="O170" s="31"/>
      <c r="P170" s="31"/>
      <c r="Q170" s="22"/>
      <c r="R170" s="22"/>
      <c r="S170" s="22"/>
      <c r="T170" s="22"/>
      <c r="U170" s="22"/>
      <c r="V170" s="32" t="s">
        <v>349</v>
      </c>
      <c r="W170" s="22"/>
      <c r="X170" s="22"/>
      <c r="Y170" s="29" t="s">
        <v>72</v>
      </c>
      <c r="Z170" s="22"/>
      <c r="AA170" s="37">
        <v>61.73</v>
      </c>
      <c r="AB170" s="42">
        <v>86.43</v>
      </c>
      <c r="AC170" s="31"/>
      <c r="AD170" s="32" t="s">
        <v>350</v>
      </c>
      <c r="AE170" s="22"/>
      <c r="AF170" s="22"/>
      <c r="AG170" s="40"/>
      <c r="AH170" s="40" t="str">
        <f t="shared" si="1"/>
        <v>RUUD</v>
      </c>
      <c r="AI170" s="39" t="s">
        <v>82</v>
      </c>
      <c r="AJ170" s="22"/>
    </row>
    <row r="171" ht="15.75" customHeight="1">
      <c r="A171" s="32" t="s">
        <v>77</v>
      </c>
      <c r="B171" s="32" t="s">
        <v>344</v>
      </c>
      <c r="C171" s="32" t="s">
        <v>79</v>
      </c>
      <c r="D171" s="22"/>
      <c r="E171" s="22"/>
      <c r="G171" s="22"/>
      <c r="H171" s="22"/>
      <c r="I171" s="22"/>
      <c r="J171" s="22"/>
      <c r="K171" s="22"/>
      <c r="L171" s="22"/>
      <c r="M171" s="41"/>
      <c r="N171" s="41"/>
      <c r="O171" s="31"/>
      <c r="P171" s="31"/>
      <c r="Q171" s="22"/>
      <c r="R171" s="22"/>
      <c r="S171" s="22"/>
      <c r="T171" s="22"/>
      <c r="U171" s="22"/>
      <c r="V171" s="32" t="s">
        <v>351</v>
      </c>
      <c r="W171" s="22"/>
      <c r="X171" s="22"/>
      <c r="Y171" s="29" t="s">
        <v>72</v>
      </c>
      <c r="Z171" s="22"/>
      <c r="AA171" s="37">
        <v>40.13</v>
      </c>
      <c r="AB171" s="42">
        <v>56.18</v>
      </c>
      <c r="AC171" s="31"/>
      <c r="AD171" s="32" t="s">
        <v>352</v>
      </c>
      <c r="AE171" s="22"/>
      <c r="AF171" s="22"/>
      <c r="AG171" s="40"/>
      <c r="AH171" s="40" t="str">
        <f t="shared" si="1"/>
        <v>RUUD</v>
      </c>
      <c r="AI171" s="39" t="s">
        <v>82</v>
      </c>
      <c r="AJ171" s="22"/>
    </row>
    <row r="172" ht="15.75" customHeight="1">
      <c r="A172" s="32" t="s">
        <v>77</v>
      </c>
      <c r="B172" s="32" t="s">
        <v>344</v>
      </c>
      <c r="C172" s="32" t="s">
        <v>79</v>
      </c>
      <c r="D172" s="22"/>
      <c r="E172" s="22"/>
      <c r="G172" s="22"/>
      <c r="H172" s="22"/>
      <c r="I172" s="22"/>
      <c r="J172" s="22"/>
      <c r="K172" s="22"/>
      <c r="L172" s="22"/>
      <c r="M172" s="41"/>
      <c r="N172" s="41"/>
      <c r="O172" s="31"/>
      <c r="P172" s="31"/>
      <c r="Q172" s="22"/>
      <c r="R172" s="22"/>
      <c r="S172" s="22"/>
      <c r="T172" s="22"/>
      <c r="U172" s="22"/>
      <c r="V172" s="32" t="s">
        <v>353</v>
      </c>
      <c r="W172" s="22"/>
      <c r="X172" s="22"/>
      <c r="Y172" s="29" t="s">
        <v>72</v>
      </c>
      <c r="Z172" s="22"/>
      <c r="AA172" s="37">
        <v>178.03</v>
      </c>
      <c r="AB172" s="42">
        <v>249.24</v>
      </c>
      <c r="AC172" s="31"/>
      <c r="AD172" s="32" t="s">
        <v>354</v>
      </c>
      <c r="AE172" s="22"/>
      <c r="AF172" s="22"/>
      <c r="AG172" s="40"/>
      <c r="AH172" s="40" t="str">
        <f t="shared" si="1"/>
        <v>RUUD</v>
      </c>
      <c r="AI172" s="39" t="s">
        <v>82</v>
      </c>
      <c r="AJ172" s="22"/>
    </row>
    <row r="173" ht="15.75" customHeight="1">
      <c r="A173" s="32" t="s">
        <v>77</v>
      </c>
      <c r="B173" s="32" t="s">
        <v>344</v>
      </c>
      <c r="C173" s="32" t="s">
        <v>79</v>
      </c>
      <c r="D173" s="22"/>
      <c r="E173" s="22"/>
      <c r="G173" s="22"/>
      <c r="H173" s="22"/>
      <c r="I173" s="22"/>
      <c r="J173" s="22"/>
      <c r="K173" s="22"/>
      <c r="L173" s="22"/>
      <c r="M173" s="41"/>
      <c r="N173" s="41"/>
      <c r="O173" s="31"/>
      <c r="P173" s="31"/>
      <c r="Q173" s="22"/>
      <c r="R173" s="22"/>
      <c r="S173" s="22"/>
      <c r="T173" s="22"/>
      <c r="U173" s="22"/>
      <c r="V173" s="32" t="s">
        <v>355</v>
      </c>
      <c r="W173" s="22"/>
      <c r="X173" s="22"/>
      <c r="Y173" s="29" t="s">
        <v>72</v>
      </c>
      <c r="Z173" s="22"/>
      <c r="AA173" s="37">
        <v>182.65</v>
      </c>
      <c r="AB173" s="42">
        <v>255.71</v>
      </c>
      <c r="AC173" s="31"/>
      <c r="AD173" s="32" t="s">
        <v>356</v>
      </c>
      <c r="AE173" s="22"/>
      <c r="AF173" s="22"/>
      <c r="AG173" s="40"/>
      <c r="AH173" s="40" t="str">
        <f t="shared" si="1"/>
        <v>RUUD</v>
      </c>
      <c r="AI173" s="39" t="s">
        <v>82</v>
      </c>
      <c r="AJ173" s="22"/>
    </row>
    <row r="174" ht="15.75" customHeight="1">
      <c r="A174" s="32" t="s">
        <v>77</v>
      </c>
      <c r="B174" s="32" t="s">
        <v>344</v>
      </c>
      <c r="C174" s="32" t="s">
        <v>79</v>
      </c>
      <c r="D174" s="22"/>
      <c r="E174" s="22"/>
      <c r="G174" s="22"/>
      <c r="H174" s="22"/>
      <c r="I174" s="22"/>
      <c r="J174" s="22"/>
      <c r="K174" s="22"/>
      <c r="L174" s="22"/>
      <c r="M174" s="41"/>
      <c r="N174" s="41"/>
      <c r="O174" s="31"/>
      <c r="P174" s="31"/>
      <c r="Q174" s="22"/>
      <c r="R174" s="22"/>
      <c r="S174" s="22"/>
      <c r="T174" s="22"/>
      <c r="U174" s="22"/>
      <c r="V174" s="32" t="s">
        <v>357</v>
      </c>
      <c r="W174" s="22"/>
      <c r="X174" s="22"/>
      <c r="Y174" s="29" t="s">
        <v>72</v>
      </c>
      <c r="Z174" s="22"/>
      <c r="AA174" s="37">
        <v>187.26</v>
      </c>
      <c r="AB174" s="42">
        <v>262.16</v>
      </c>
      <c r="AC174" s="31"/>
      <c r="AD174" s="32" t="s">
        <v>358</v>
      </c>
      <c r="AE174" s="22"/>
      <c r="AF174" s="22"/>
      <c r="AG174" s="40"/>
      <c r="AH174" s="40" t="str">
        <f t="shared" si="1"/>
        <v>RUUD</v>
      </c>
      <c r="AI174" s="39" t="s">
        <v>82</v>
      </c>
      <c r="AJ174" s="22"/>
    </row>
    <row r="175" ht="15.75" customHeight="1">
      <c r="A175" s="32" t="s">
        <v>77</v>
      </c>
      <c r="B175" s="32" t="s">
        <v>344</v>
      </c>
      <c r="C175" s="32" t="s">
        <v>79</v>
      </c>
      <c r="D175" s="22"/>
      <c r="E175" s="22"/>
      <c r="G175" s="22"/>
      <c r="H175" s="22"/>
      <c r="I175" s="22"/>
      <c r="J175" s="22"/>
      <c r="K175" s="22"/>
      <c r="L175" s="22"/>
      <c r="M175" s="41"/>
      <c r="N175" s="41"/>
      <c r="O175" s="31"/>
      <c r="P175" s="31"/>
      <c r="Q175" s="22"/>
      <c r="R175" s="22"/>
      <c r="S175" s="22"/>
      <c r="T175" s="22"/>
      <c r="U175" s="22"/>
      <c r="V175" s="32" t="s">
        <v>359</v>
      </c>
      <c r="W175" s="22"/>
      <c r="X175" s="22"/>
      <c r="Y175" s="29" t="s">
        <v>72</v>
      </c>
      <c r="Z175" s="22"/>
      <c r="AA175" s="37">
        <v>195.2</v>
      </c>
      <c r="AB175" s="42">
        <v>273.28</v>
      </c>
      <c r="AC175" s="31"/>
      <c r="AD175" s="32" t="s">
        <v>360</v>
      </c>
      <c r="AE175" s="22"/>
      <c r="AF175" s="22"/>
      <c r="AG175" s="40"/>
      <c r="AH175" s="40" t="str">
        <f t="shared" si="1"/>
        <v>RUUD</v>
      </c>
      <c r="AI175" s="39" t="s">
        <v>82</v>
      </c>
      <c r="AJ175" s="22"/>
    </row>
    <row r="176" ht="15.75" customHeight="1">
      <c r="A176" s="32" t="s">
        <v>77</v>
      </c>
      <c r="B176" s="32" t="s">
        <v>344</v>
      </c>
      <c r="C176" s="32" t="s">
        <v>79</v>
      </c>
      <c r="D176" s="22"/>
      <c r="E176" s="22"/>
      <c r="G176" s="22"/>
      <c r="H176" s="22"/>
      <c r="I176" s="22"/>
      <c r="J176" s="22"/>
      <c r="K176" s="22"/>
      <c r="L176" s="22"/>
      <c r="M176" s="41"/>
      <c r="N176" s="41"/>
      <c r="O176" s="31"/>
      <c r="P176" s="31"/>
      <c r="Q176" s="22"/>
      <c r="R176" s="22"/>
      <c r="S176" s="22"/>
      <c r="T176" s="22"/>
      <c r="U176" s="22"/>
      <c r="V176" s="32" t="s">
        <v>361</v>
      </c>
      <c r="W176" s="22"/>
      <c r="X176" s="22"/>
      <c r="Y176" s="29" t="s">
        <v>72</v>
      </c>
      <c r="Z176" s="22"/>
      <c r="AA176" s="37">
        <v>224.33</v>
      </c>
      <c r="AB176" s="42">
        <v>314.06</v>
      </c>
      <c r="AC176" s="31"/>
      <c r="AD176" s="32" t="s">
        <v>362</v>
      </c>
      <c r="AE176" s="22"/>
      <c r="AF176" s="22"/>
      <c r="AG176" s="40"/>
      <c r="AH176" s="40" t="str">
        <f t="shared" si="1"/>
        <v>RUUD</v>
      </c>
      <c r="AI176" s="39" t="s">
        <v>82</v>
      </c>
      <c r="AJ176" s="22"/>
    </row>
    <row r="177" ht="15.75" customHeight="1">
      <c r="A177" s="32" t="s">
        <v>77</v>
      </c>
      <c r="B177" s="32" t="s">
        <v>344</v>
      </c>
      <c r="C177" s="32" t="s">
        <v>79</v>
      </c>
      <c r="D177" s="22"/>
      <c r="E177" s="22"/>
      <c r="G177" s="22"/>
      <c r="H177" s="22"/>
      <c r="I177" s="22"/>
      <c r="J177" s="22"/>
      <c r="K177" s="22"/>
      <c r="L177" s="22"/>
      <c r="M177" s="41"/>
      <c r="N177" s="41"/>
      <c r="O177" s="31"/>
      <c r="P177" s="31"/>
      <c r="Q177" s="22"/>
      <c r="R177" s="22"/>
      <c r="S177" s="22"/>
      <c r="T177" s="22"/>
      <c r="U177" s="22"/>
      <c r="V177" s="32" t="s">
        <v>363</v>
      </c>
      <c r="W177" s="22"/>
      <c r="X177" s="22"/>
      <c r="Y177" s="29" t="s">
        <v>72</v>
      </c>
      <c r="Z177" s="22"/>
      <c r="AA177" s="37">
        <v>258.74</v>
      </c>
      <c r="AB177" s="42">
        <v>362.23</v>
      </c>
      <c r="AC177" s="31"/>
      <c r="AD177" s="32" t="s">
        <v>364</v>
      </c>
      <c r="AE177" s="22"/>
      <c r="AF177" s="22"/>
      <c r="AG177" s="40"/>
      <c r="AH177" s="40" t="str">
        <f t="shared" si="1"/>
        <v>RUUD</v>
      </c>
      <c r="AI177" s="39" t="s">
        <v>82</v>
      </c>
      <c r="AJ177" s="22"/>
    </row>
    <row r="178" ht="15.75" customHeight="1">
      <c r="A178" s="32" t="s">
        <v>77</v>
      </c>
      <c r="B178" s="32" t="s">
        <v>344</v>
      </c>
      <c r="C178" s="32" t="s">
        <v>79</v>
      </c>
      <c r="D178" s="22"/>
      <c r="E178" s="22"/>
      <c r="G178" s="22"/>
      <c r="H178" s="22"/>
      <c r="I178" s="22"/>
      <c r="J178" s="22"/>
      <c r="K178" s="22"/>
      <c r="L178" s="22"/>
      <c r="M178" s="41"/>
      <c r="N178" s="41"/>
      <c r="O178" s="31"/>
      <c r="P178" s="31"/>
      <c r="Q178" s="22"/>
      <c r="R178" s="22"/>
      <c r="S178" s="22"/>
      <c r="T178" s="22"/>
      <c r="U178" s="22"/>
      <c r="V178" s="32" t="s">
        <v>365</v>
      </c>
      <c r="W178" s="22"/>
      <c r="X178" s="22"/>
      <c r="Y178" s="29" t="s">
        <v>72</v>
      </c>
      <c r="Z178" s="22"/>
      <c r="AA178" s="37">
        <v>314.31</v>
      </c>
      <c r="AB178" s="42">
        <v>440.04</v>
      </c>
      <c r="AC178" s="31"/>
      <c r="AD178" s="32" t="s">
        <v>366</v>
      </c>
      <c r="AE178" s="22"/>
      <c r="AF178" s="22"/>
      <c r="AG178" s="40"/>
      <c r="AH178" s="40" t="str">
        <f t="shared" si="1"/>
        <v>RUUD</v>
      </c>
      <c r="AI178" s="39" t="s">
        <v>82</v>
      </c>
      <c r="AJ178" s="22"/>
    </row>
    <row r="179" ht="15.75" customHeight="1">
      <c r="A179" s="32" t="s">
        <v>77</v>
      </c>
      <c r="B179" s="32" t="s">
        <v>344</v>
      </c>
      <c r="C179" s="32" t="s">
        <v>79</v>
      </c>
      <c r="D179" s="22"/>
      <c r="E179" s="22"/>
      <c r="G179" s="22"/>
      <c r="H179" s="22"/>
      <c r="I179" s="22"/>
      <c r="J179" s="22"/>
      <c r="K179" s="22"/>
      <c r="L179" s="22"/>
      <c r="M179" s="41"/>
      <c r="N179" s="41"/>
      <c r="O179" s="31"/>
      <c r="P179" s="31"/>
      <c r="Q179" s="22"/>
      <c r="R179" s="22"/>
      <c r="S179" s="22"/>
      <c r="T179" s="22"/>
      <c r="U179" s="22"/>
      <c r="V179" s="32" t="s">
        <v>367</v>
      </c>
      <c r="W179" s="22"/>
      <c r="X179" s="22"/>
      <c r="Y179" s="29" t="s">
        <v>72</v>
      </c>
      <c r="Z179" s="22"/>
      <c r="AA179" s="37">
        <v>353.37</v>
      </c>
      <c r="AB179" s="42">
        <v>494.72</v>
      </c>
      <c r="AC179" s="31"/>
      <c r="AD179" s="32" t="s">
        <v>368</v>
      </c>
      <c r="AE179" s="22"/>
      <c r="AF179" s="22"/>
      <c r="AG179" s="40"/>
      <c r="AH179" s="40" t="str">
        <f t="shared" si="1"/>
        <v>RUUD</v>
      </c>
      <c r="AI179" s="39" t="s">
        <v>82</v>
      </c>
      <c r="AJ179" s="22"/>
    </row>
    <row r="180" ht="15.75" customHeight="1">
      <c r="A180" s="32" t="s">
        <v>77</v>
      </c>
      <c r="B180" s="32" t="s">
        <v>344</v>
      </c>
      <c r="C180" s="32" t="s">
        <v>79</v>
      </c>
      <c r="D180" s="22"/>
      <c r="E180" s="22"/>
      <c r="G180" s="22"/>
      <c r="H180" s="22"/>
      <c r="I180" s="22"/>
      <c r="J180" s="22"/>
      <c r="K180" s="22"/>
      <c r="L180" s="22"/>
      <c r="M180" s="41"/>
      <c r="N180" s="41"/>
      <c r="O180" s="31"/>
      <c r="P180" s="31"/>
      <c r="Q180" s="22"/>
      <c r="R180" s="22"/>
      <c r="S180" s="22"/>
      <c r="T180" s="22"/>
      <c r="U180" s="22"/>
      <c r="V180" s="32" t="s">
        <v>369</v>
      </c>
      <c r="W180" s="22"/>
      <c r="X180" s="22"/>
      <c r="Y180" s="29" t="s">
        <v>72</v>
      </c>
      <c r="Z180" s="22"/>
      <c r="AA180" s="37">
        <v>241.52</v>
      </c>
      <c r="AB180" s="42">
        <v>338.13</v>
      </c>
      <c r="AC180" s="31"/>
      <c r="AD180" s="32" t="s">
        <v>370</v>
      </c>
      <c r="AE180" s="22"/>
      <c r="AF180" s="22"/>
      <c r="AG180" s="40"/>
      <c r="AH180" s="40" t="str">
        <f t="shared" si="1"/>
        <v>RUUD</v>
      </c>
      <c r="AI180" s="39" t="s">
        <v>82</v>
      </c>
      <c r="AJ180" s="22"/>
    </row>
    <row r="181" ht="15.75" customHeight="1">
      <c r="A181" s="32" t="s">
        <v>77</v>
      </c>
      <c r="B181" s="32" t="s">
        <v>344</v>
      </c>
      <c r="C181" s="32" t="s">
        <v>79</v>
      </c>
      <c r="D181" s="22"/>
      <c r="E181" s="22"/>
      <c r="G181" s="22"/>
      <c r="H181" s="22"/>
      <c r="I181" s="22"/>
      <c r="J181" s="22"/>
      <c r="K181" s="22"/>
      <c r="L181" s="22"/>
      <c r="M181" s="41"/>
      <c r="N181" s="41"/>
      <c r="O181" s="31"/>
      <c r="P181" s="31"/>
      <c r="Q181" s="22"/>
      <c r="R181" s="22"/>
      <c r="S181" s="22"/>
      <c r="T181" s="22"/>
      <c r="U181" s="22"/>
      <c r="V181" s="32" t="s">
        <v>371</v>
      </c>
      <c r="W181" s="22"/>
      <c r="X181" s="22"/>
      <c r="Y181" s="29" t="s">
        <v>72</v>
      </c>
      <c r="Z181" s="22"/>
      <c r="AA181" s="37">
        <v>0.0</v>
      </c>
      <c r="AB181" s="42">
        <v>0.0</v>
      </c>
      <c r="AC181" s="31"/>
      <c r="AD181" s="32" t="s">
        <v>372</v>
      </c>
      <c r="AE181" s="22"/>
      <c r="AF181" s="22"/>
      <c r="AG181" s="40"/>
      <c r="AH181" s="40" t="str">
        <f t="shared" si="1"/>
        <v>RUUD</v>
      </c>
      <c r="AI181" s="39" t="s">
        <v>82</v>
      </c>
      <c r="AJ181" s="22"/>
    </row>
    <row r="182" ht="15.75" customHeight="1">
      <c r="A182" s="32" t="s">
        <v>77</v>
      </c>
      <c r="B182" s="32" t="s">
        <v>344</v>
      </c>
      <c r="C182" s="32" t="s">
        <v>79</v>
      </c>
      <c r="D182" s="22"/>
      <c r="E182" s="22"/>
      <c r="G182" s="22"/>
      <c r="H182" s="22"/>
      <c r="I182" s="22"/>
      <c r="J182" s="22"/>
      <c r="K182" s="22"/>
      <c r="L182" s="22"/>
      <c r="M182" s="41"/>
      <c r="N182" s="41"/>
      <c r="O182" s="31"/>
      <c r="P182" s="31"/>
      <c r="Q182" s="22"/>
      <c r="R182" s="22"/>
      <c r="S182" s="22"/>
      <c r="T182" s="22"/>
      <c r="U182" s="22"/>
      <c r="V182" s="32" t="s">
        <v>373</v>
      </c>
      <c r="W182" s="22"/>
      <c r="X182" s="22"/>
      <c r="Y182" s="29" t="s">
        <v>72</v>
      </c>
      <c r="Z182" s="22"/>
      <c r="AA182" s="37">
        <v>273.96</v>
      </c>
      <c r="AB182" s="42">
        <v>383.54</v>
      </c>
      <c r="AC182" s="31"/>
      <c r="AD182" s="32" t="s">
        <v>374</v>
      </c>
      <c r="AE182" s="22"/>
      <c r="AF182" s="22"/>
      <c r="AG182" s="40"/>
      <c r="AH182" s="40" t="str">
        <f t="shared" si="1"/>
        <v>RUUD</v>
      </c>
      <c r="AI182" s="39" t="s">
        <v>82</v>
      </c>
      <c r="AJ182" s="22"/>
    </row>
    <row r="183" ht="15.75" customHeight="1">
      <c r="A183" s="32" t="s">
        <v>77</v>
      </c>
      <c r="B183" s="32" t="s">
        <v>344</v>
      </c>
      <c r="C183" s="32" t="s">
        <v>79</v>
      </c>
      <c r="D183" s="22"/>
      <c r="E183" s="22"/>
      <c r="G183" s="22"/>
      <c r="H183" s="22"/>
      <c r="I183" s="22"/>
      <c r="J183" s="22"/>
      <c r="K183" s="22"/>
      <c r="L183" s="22"/>
      <c r="M183" s="41"/>
      <c r="N183" s="41"/>
      <c r="O183" s="31"/>
      <c r="P183" s="31"/>
      <c r="Q183" s="22"/>
      <c r="R183" s="22"/>
      <c r="S183" s="22"/>
      <c r="T183" s="22"/>
      <c r="U183" s="22"/>
      <c r="V183" s="32" t="s">
        <v>375</v>
      </c>
      <c r="W183" s="22"/>
      <c r="X183" s="22"/>
      <c r="Y183" s="29" t="s">
        <v>72</v>
      </c>
      <c r="Z183" s="22"/>
      <c r="AA183" s="37">
        <v>0.0</v>
      </c>
      <c r="AB183" s="42">
        <v>0.0</v>
      </c>
      <c r="AC183" s="31"/>
      <c r="AD183" s="32" t="s">
        <v>376</v>
      </c>
      <c r="AE183" s="22"/>
      <c r="AF183" s="22"/>
      <c r="AG183" s="40"/>
      <c r="AH183" s="40" t="str">
        <f t="shared" si="1"/>
        <v>RUUD</v>
      </c>
      <c r="AI183" s="39" t="s">
        <v>82</v>
      </c>
      <c r="AJ183" s="22"/>
    </row>
    <row r="184" ht="15.75" customHeight="1">
      <c r="A184" s="32" t="s">
        <v>77</v>
      </c>
      <c r="B184" s="32" t="s">
        <v>344</v>
      </c>
      <c r="C184" s="32" t="s">
        <v>79</v>
      </c>
      <c r="D184" s="22"/>
      <c r="E184" s="22"/>
      <c r="G184" s="22"/>
      <c r="H184" s="22"/>
      <c r="I184" s="22"/>
      <c r="J184" s="22"/>
      <c r="K184" s="22"/>
      <c r="L184" s="22"/>
      <c r="M184" s="41"/>
      <c r="N184" s="41"/>
      <c r="O184" s="31"/>
      <c r="P184" s="31"/>
      <c r="Q184" s="22"/>
      <c r="R184" s="22"/>
      <c r="S184" s="22"/>
      <c r="T184" s="22"/>
      <c r="U184" s="22"/>
      <c r="V184" s="32" t="s">
        <v>377</v>
      </c>
      <c r="W184" s="22"/>
      <c r="X184" s="22"/>
      <c r="Y184" s="29" t="s">
        <v>72</v>
      </c>
      <c r="Z184" s="22"/>
      <c r="AA184" s="37">
        <v>233.59</v>
      </c>
      <c r="AB184" s="42">
        <v>327.03</v>
      </c>
      <c r="AC184" s="31"/>
      <c r="AD184" s="32" t="s">
        <v>378</v>
      </c>
      <c r="AE184" s="22"/>
      <c r="AF184" s="22"/>
      <c r="AG184" s="40"/>
      <c r="AH184" s="40" t="str">
        <f t="shared" si="1"/>
        <v>RUUD</v>
      </c>
      <c r="AI184" s="39" t="s">
        <v>82</v>
      </c>
      <c r="AJ184" s="22"/>
    </row>
    <row r="185" ht="15.75" customHeight="1">
      <c r="A185" s="32" t="s">
        <v>77</v>
      </c>
      <c r="B185" s="32" t="s">
        <v>344</v>
      </c>
      <c r="C185" s="32" t="s">
        <v>79</v>
      </c>
      <c r="D185" s="22"/>
      <c r="E185" s="22"/>
      <c r="G185" s="22"/>
      <c r="H185" s="22"/>
      <c r="I185" s="22"/>
      <c r="J185" s="22"/>
      <c r="K185" s="22"/>
      <c r="L185" s="22"/>
      <c r="M185" s="41"/>
      <c r="N185" s="41"/>
      <c r="O185" s="31"/>
      <c r="P185" s="31"/>
      <c r="Q185" s="22"/>
      <c r="R185" s="22"/>
      <c r="S185" s="22"/>
      <c r="T185" s="22"/>
      <c r="U185" s="22"/>
      <c r="V185" s="32" t="s">
        <v>379</v>
      </c>
      <c r="W185" s="22"/>
      <c r="X185" s="22"/>
      <c r="Y185" s="29" t="s">
        <v>72</v>
      </c>
      <c r="Z185" s="22"/>
      <c r="AA185" s="37">
        <v>0.0</v>
      </c>
      <c r="AB185" s="42">
        <v>0.0</v>
      </c>
      <c r="AC185" s="31"/>
      <c r="AD185" s="32" t="s">
        <v>380</v>
      </c>
      <c r="AE185" s="22"/>
      <c r="AF185" s="22"/>
      <c r="AG185" s="40"/>
      <c r="AH185" s="40" t="str">
        <f t="shared" si="1"/>
        <v>RUUD</v>
      </c>
      <c r="AI185" s="39" t="s">
        <v>82</v>
      </c>
      <c r="AJ185" s="22"/>
    </row>
    <row r="186" ht="15.75" customHeight="1">
      <c r="A186" s="32" t="s">
        <v>77</v>
      </c>
      <c r="B186" s="32" t="s">
        <v>344</v>
      </c>
      <c r="C186" s="32" t="s">
        <v>79</v>
      </c>
      <c r="D186" s="22"/>
      <c r="E186" s="22"/>
      <c r="G186" s="22"/>
      <c r="H186" s="22"/>
      <c r="I186" s="22"/>
      <c r="J186" s="22"/>
      <c r="K186" s="22"/>
      <c r="L186" s="22"/>
      <c r="M186" s="41"/>
      <c r="N186" s="41"/>
      <c r="O186" s="31"/>
      <c r="P186" s="31"/>
      <c r="Q186" s="22"/>
      <c r="R186" s="22"/>
      <c r="S186" s="22"/>
      <c r="T186" s="22"/>
      <c r="U186" s="22"/>
      <c r="V186" s="32" t="s">
        <v>381</v>
      </c>
      <c r="W186" s="22"/>
      <c r="X186" s="22"/>
      <c r="Y186" s="29" t="s">
        <v>72</v>
      </c>
      <c r="Z186" s="22"/>
      <c r="AA186" s="37">
        <v>254.76</v>
      </c>
      <c r="AB186" s="42">
        <v>356.66</v>
      </c>
      <c r="AC186" s="31"/>
      <c r="AD186" s="32" t="s">
        <v>382</v>
      </c>
      <c r="AE186" s="22"/>
      <c r="AF186" s="22"/>
      <c r="AG186" s="40"/>
      <c r="AH186" s="40" t="str">
        <f t="shared" si="1"/>
        <v>RUUD</v>
      </c>
      <c r="AI186" s="39" t="s">
        <v>82</v>
      </c>
      <c r="AJ186" s="22"/>
    </row>
    <row r="187" ht="15.75" customHeight="1">
      <c r="A187" s="32" t="s">
        <v>77</v>
      </c>
      <c r="B187" s="32" t="s">
        <v>344</v>
      </c>
      <c r="C187" s="32" t="s">
        <v>79</v>
      </c>
      <c r="D187" s="22"/>
      <c r="E187" s="22"/>
      <c r="G187" s="22"/>
      <c r="H187" s="22"/>
      <c r="I187" s="22"/>
      <c r="J187" s="22"/>
      <c r="K187" s="22"/>
      <c r="L187" s="22"/>
      <c r="M187" s="41"/>
      <c r="N187" s="41"/>
      <c r="O187" s="31"/>
      <c r="P187" s="31"/>
      <c r="Q187" s="22"/>
      <c r="R187" s="22"/>
      <c r="S187" s="22"/>
      <c r="T187" s="22"/>
      <c r="U187" s="22"/>
      <c r="V187" s="32" t="s">
        <v>383</v>
      </c>
      <c r="W187" s="22"/>
      <c r="X187" s="22"/>
      <c r="Y187" s="29" t="s">
        <v>72</v>
      </c>
      <c r="Z187" s="22"/>
      <c r="AA187" s="37">
        <v>261.39</v>
      </c>
      <c r="AB187" s="42">
        <v>365.94</v>
      </c>
      <c r="AC187" s="31"/>
      <c r="AD187" s="32" t="s">
        <v>384</v>
      </c>
      <c r="AE187" s="22"/>
      <c r="AF187" s="22"/>
      <c r="AG187" s="40"/>
      <c r="AH187" s="40" t="str">
        <f t="shared" si="1"/>
        <v>RUUD</v>
      </c>
      <c r="AI187" s="39" t="s">
        <v>82</v>
      </c>
      <c r="AJ187" s="22"/>
    </row>
    <row r="188" ht="15.75" customHeight="1">
      <c r="A188" s="32" t="s">
        <v>77</v>
      </c>
      <c r="B188" s="32" t="s">
        <v>344</v>
      </c>
      <c r="C188" s="32" t="s">
        <v>79</v>
      </c>
      <c r="D188" s="22"/>
      <c r="E188" s="22"/>
      <c r="G188" s="22"/>
      <c r="H188" s="22"/>
      <c r="I188" s="22"/>
      <c r="J188" s="22"/>
      <c r="K188" s="22"/>
      <c r="L188" s="22"/>
      <c r="M188" s="41"/>
      <c r="N188" s="41"/>
      <c r="O188" s="31"/>
      <c r="P188" s="31"/>
      <c r="Q188" s="22"/>
      <c r="R188" s="22"/>
      <c r="S188" s="22"/>
      <c r="T188" s="22"/>
      <c r="U188" s="22"/>
      <c r="V188" s="32" t="s">
        <v>385</v>
      </c>
      <c r="W188" s="22"/>
      <c r="X188" s="22"/>
      <c r="Y188" s="29" t="s">
        <v>72</v>
      </c>
      <c r="Z188" s="22"/>
      <c r="AA188" s="37">
        <v>273.96</v>
      </c>
      <c r="AB188" s="42">
        <v>383.54</v>
      </c>
      <c r="AC188" s="31"/>
      <c r="AD188" s="32" t="s">
        <v>386</v>
      </c>
      <c r="AE188" s="22"/>
      <c r="AF188" s="22"/>
      <c r="AG188" s="40"/>
      <c r="AH188" s="40" t="str">
        <f t="shared" si="1"/>
        <v>RUUD</v>
      </c>
      <c r="AI188" s="39" t="s">
        <v>82</v>
      </c>
      <c r="AJ188" s="22"/>
    </row>
    <row r="189" ht="15.75" customHeight="1">
      <c r="A189" s="32" t="s">
        <v>77</v>
      </c>
      <c r="B189" s="32" t="s">
        <v>280</v>
      </c>
      <c r="C189" s="32" t="s">
        <v>387</v>
      </c>
      <c r="D189" s="22"/>
      <c r="E189" s="22"/>
      <c r="G189" s="22"/>
      <c r="H189" s="22"/>
      <c r="I189" s="22"/>
      <c r="J189" s="22"/>
      <c r="K189" s="22"/>
      <c r="L189" s="22"/>
      <c r="M189" s="41"/>
      <c r="N189" s="41"/>
      <c r="O189" s="31"/>
      <c r="P189" s="31"/>
      <c r="Q189" s="22"/>
      <c r="R189" s="22"/>
      <c r="S189" s="22"/>
      <c r="T189" s="22"/>
      <c r="U189" s="22"/>
      <c r="V189" s="32" t="s">
        <v>388</v>
      </c>
      <c r="W189" s="22"/>
      <c r="X189" s="22"/>
      <c r="Y189" s="29" t="s">
        <v>72</v>
      </c>
      <c r="Z189" s="22"/>
      <c r="AA189" s="37">
        <v>2781.84</v>
      </c>
      <c r="AB189" s="42">
        <v>3894.58</v>
      </c>
      <c r="AC189" s="31"/>
      <c r="AD189" s="32" t="s">
        <v>389</v>
      </c>
      <c r="AE189" s="22"/>
      <c r="AF189" s="29" t="s">
        <v>85</v>
      </c>
      <c r="AG189" s="40"/>
      <c r="AH189" s="40" t="str">
        <f t="shared" si="1"/>
        <v>Bosch</v>
      </c>
      <c r="AI189" s="39" t="s">
        <v>82</v>
      </c>
      <c r="AJ189" s="22"/>
    </row>
    <row r="190" ht="15.75" customHeight="1">
      <c r="A190" s="32" t="s">
        <v>77</v>
      </c>
      <c r="B190" s="32" t="s">
        <v>280</v>
      </c>
      <c r="C190" s="32" t="s">
        <v>387</v>
      </c>
      <c r="D190" s="22"/>
      <c r="E190" s="22"/>
      <c r="G190" s="22"/>
      <c r="H190" s="22"/>
      <c r="I190" s="22"/>
      <c r="J190" s="22"/>
      <c r="K190" s="22"/>
      <c r="L190" s="22"/>
      <c r="M190" s="41"/>
      <c r="N190" s="41"/>
      <c r="O190" s="31"/>
      <c r="P190" s="31"/>
      <c r="Q190" s="22"/>
      <c r="R190" s="22"/>
      <c r="S190" s="22"/>
      <c r="T190" s="22"/>
      <c r="U190" s="22"/>
      <c r="V190" s="32" t="s">
        <v>388</v>
      </c>
      <c r="W190" s="22"/>
      <c r="X190" s="22"/>
      <c r="Y190" s="29" t="s">
        <v>72</v>
      </c>
      <c r="Z190" s="22"/>
      <c r="AA190" s="37">
        <v>2781.84</v>
      </c>
      <c r="AB190" s="42">
        <v>3894.58</v>
      </c>
      <c r="AC190" s="31"/>
      <c r="AD190" s="32" t="s">
        <v>389</v>
      </c>
      <c r="AE190" s="22"/>
      <c r="AF190" s="29" t="s">
        <v>85</v>
      </c>
      <c r="AG190" s="40"/>
      <c r="AH190" s="40" t="str">
        <f t="shared" si="1"/>
        <v>Bosch</v>
      </c>
      <c r="AI190" s="39" t="s">
        <v>82</v>
      </c>
      <c r="AJ190" s="22"/>
    </row>
    <row r="191" ht="15.75" customHeight="1">
      <c r="A191" s="32" t="s">
        <v>77</v>
      </c>
      <c r="B191" s="32" t="s">
        <v>280</v>
      </c>
      <c r="C191" s="32" t="s">
        <v>387</v>
      </c>
      <c r="D191" s="22"/>
      <c r="E191" s="22"/>
      <c r="G191" s="22"/>
      <c r="H191" s="22"/>
      <c r="I191" s="22"/>
      <c r="J191" s="22"/>
      <c r="K191" s="22"/>
      <c r="L191" s="22"/>
      <c r="M191" s="41"/>
      <c r="N191" s="41"/>
      <c r="O191" s="31"/>
      <c r="P191" s="31"/>
      <c r="Q191" s="22"/>
      <c r="R191" s="22"/>
      <c r="S191" s="22"/>
      <c r="T191" s="22"/>
      <c r="U191" s="22"/>
      <c r="V191" s="32" t="s">
        <v>390</v>
      </c>
      <c r="W191" s="22"/>
      <c r="X191" s="22"/>
      <c r="Y191" s="29" t="s">
        <v>72</v>
      </c>
      <c r="Z191" s="22"/>
      <c r="AA191" s="37">
        <v>3740.51</v>
      </c>
      <c r="AB191" s="42">
        <v>5236.71</v>
      </c>
      <c r="AC191" s="31"/>
      <c r="AD191" s="32" t="s">
        <v>391</v>
      </c>
      <c r="AE191" s="22"/>
      <c r="AF191" s="29" t="s">
        <v>85</v>
      </c>
      <c r="AG191" s="40"/>
      <c r="AH191" s="40" t="str">
        <f t="shared" si="1"/>
        <v>Bosch</v>
      </c>
      <c r="AI191" s="39" t="s">
        <v>82</v>
      </c>
      <c r="AJ191" s="22"/>
    </row>
    <row r="192" ht="15.75" customHeight="1">
      <c r="A192" s="32" t="s">
        <v>77</v>
      </c>
      <c r="B192" s="32" t="s">
        <v>280</v>
      </c>
      <c r="C192" s="32" t="s">
        <v>387</v>
      </c>
      <c r="D192" s="22"/>
      <c r="E192" s="22"/>
      <c r="G192" s="22"/>
      <c r="H192" s="22"/>
      <c r="I192" s="22"/>
      <c r="J192" s="22"/>
      <c r="K192" s="22"/>
      <c r="L192" s="22"/>
      <c r="M192" s="41"/>
      <c r="N192" s="41"/>
      <c r="O192" s="31"/>
      <c r="P192" s="31"/>
      <c r="Q192" s="22"/>
      <c r="R192" s="22"/>
      <c r="S192" s="22"/>
      <c r="T192" s="22"/>
      <c r="U192" s="22"/>
      <c r="V192" s="32" t="s">
        <v>390</v>
      </c>
      <c r="W192" s="22"/>
      <c r="X192" s="22"/>
      <c r="Y192" s="29" t="s">
        <v>72</v>
      </c>
      <c r="Z192" s="22"/>
      <c r="AA192" s="37">
        <v>3740.51</v>
      </c>
      <c r="AB192" s="42">
        <v>5236.71</v>
      </c>
      <c r="AC192" s="31"/>
      <c r="AD192" s="32" t="s">
        <v>391</v>
      </c>
      <c r="AE192" s="22"/>
      <c r="AF192" s="29" t="s">
        <v>85</v>
      </c>
      <c r="AG192" s="40"/>
      <c r="AH192" s="40" t="str">
        <f t="shared" si="1"/>
        <v>Bosch</v>
      </c>
      <c r="AI192" s="39" t="s">
        <v>82</v>
      </c>
      <c r="AJ192" s="22"/>
    </row>
    <row r="193" ht="15.75" customHeight="1">
      <c r="A193" s="32" t="s">
        <v>77</v>
      </c>
      <c r="B193" s="32" t="s">
        <v>280</v>
      </c>
      <c r="C193" s="32" t="s">
        <v>387</v>
      </c>
      <c r="D193" s="22"/>
      <c r="E193" s="22"/>
      <c r="G193" s="22"/>
      <c r="H193" s="22"/>
      <c r="I193" s="22"/>
      <c r="J193" s="22"/>
      <c r="K193" s="22"/>
      <c r="L193" s="22"/>
      <c r="M193" s="41"/>
      <c r="N193" s="41"/>
      <c r="O193" s="31"/>
      <c r="P193" s="31"/>
      <c r="Q193" s="22"/>
      <c r="R193" s="22"/>
      <c r="S193" s="22"/>
      <c r="T193" s="22"/>
      <c r="U193" s="22"/>
      <c r="V193" s="32" t="s">
        <v>390</v>
      </c>
      <c r="W193" s="22"/>
      <c r="X193" s="22"/>
      <c r="Y193" s="29" t="s">
        <v>72</v>
      </c>
      <c r="Z193" s="22"/>
      <c r="AA193" s="37">
        <v>3740.51</v>
      </c>
      <c r="AB193" s="42">
        <v>5236.71</v>
      </c>
      <c r="AC193" s="31"/>
      <c r="AD193" s="32" t="s">
        <v>391</v>
      </c>
      <c r="AE193" s="22"/>
      <c r="AF193" s="29" t="s">
        <v>85</v>
      </c>
      <c r="AG193" s="40"/>
      <c r="AH193" s="40" t="str">
        <f t="shared" si="1"/>
        <v>Bosch</v>
      </c>
      <c r="AI193" s="39" t="s">
        <v>82</v>
      </c>
      <c r="AJ193" s="22"/>
    </row>
    <row r="194" ht="15.75" customHeight="1">
      <c r="A194" s="32" t="s">
        <v>77</v>
      </c>
      <c r="B194" s="32" t="s">
        <v>280</v>
      </c>
      <c r="C194" s="32" t="s">
        <v>387</v>
      </c>
      <c r="D194" s="22"/>
      <c r="E194" s="22"/>
      <c r="G194" s="22"/>
      <c r="H194" s="22"/>
      <c r="I194" s="22"/>
      <c r="J194" s="22"/>
      <c r="K194" s="22"/>
      <c r="L194" s="22"/>
      <c r="M194" s="41"/>
      <c r="N194" s="41"/>
      <c r="O194" s="31"/>
      <c r="P194" s="31"/>
      <c r="Q194" s="22"/>
      <c r="R194" s="22"/>
      <c r="S194" s="22"/>
      <c r="T194" s="22"/>
      <c r="U194" s="22"/>
      <c r="V194" s="32" t="s">
        <v>390</v>
      </c>
      <c r="W194" s="22"/>
      <c r="X194" s="22"/>
      <c r="Y194" s="29" t="s">
        <v>72</v>
      </c>
      <c r="Z194" s="22"/>
      <c r="AA194" s="37">
        <v>3740.51</v>
      </c>
      <c r="AB194" s="42">
        <v>5236.71</v>
      </c>
      <c r="AC194" s="31"/>
      <c r="AD194" s="32" t="s">
        <v>391</v>
      </c>
      <c r="AE194" s="22"/>
      <c r="AF194" s="29" t="s">
        <v>85</v>
      </c>
      <c r="AG194" s="40"/>
      <c r="AH194" s="40" t="str">
        <f t="shared" si="1"/>
        <v>Bosch</v>
      </c>
      <c r="AI194" s="39" t="s">
        <v>82</v>
      </c>
      <c r="AJ194" s="22"/>
    </row>
    <row r="195" ht="15.75" customHeight="1">
      <c r="A195" s="32" t="s">
        <v>77</v>
      </c>
      <c r="B195" s="32" t="s">
        <v>173</v>
      </c>
      <c r="C195" s="32" t="s">
        <v>387</v>
      </c>
      <c r="D195" s="22"/>
      <c r="E195" s="22"/>
      <c r="G195" s="22"/>
      <c r="H195" s="22"/>
      <c r="I195" s="22"/>
      <c r="J195" s="22"/>
      <c r="K195" s="22"/>
      <c r="L195" s="22"/>
      <c r="M195" s="41"/>
      <c r="N195" s="41"/>
      <c r="O195" s="31"/>
      <c r="P195" s="31"/>
      <c r="Q195" s="22"/>
      <c r="R195" s="22"/>
      <c r="S195" s="22"/>
      <c r="T195" s="22"/>
      <c r="U195" s="22"/>
      <c r="V195" s="32" t="s">
        <v>392</v>
      </c>
      <c r="W195" s="22"/>
      <c r="X195" s="22"/>
      <c r="Y195" s="29" t="s">
        <v>72</v>
      </c>
      <c r="Z195" s="22"/>
      <c r="AA195" s="37">
        <v>1261.3</v>
      </c>
      <c r="AB195" s="42">
        <v>1765.83</v>
      </c>
      <c r="AC195" s="31"/>
      <c r="AD195" s="32" t="s">
        <v>393</v>
      </c>
      <c r="AE195" s="22"/>
      <c r="AF195" s="29" t="s">
        <v>85</v>
      </c>
      <c r="AG195" s="40"/>
      <c r="AH195" s="40" t="str">
        <f t="shared" si="1"/>
        <v>Bosch</v>
      </c>
      <c r="AI195" s="39" t="s">
        <v>82</v>
      </c>
      <c r="AJ195" s="22"/>
    </row>
    <row r="196" ht="15.75" customHeight="1">
      <c r="A196" s="32" t="s">
        <v>77</v>
      </c>
      <c r="B196" s="32" t="s">
        <v>173</v>
      </c>
      <c r="C196" s="32" t="s">
        <v>387</v>
      </c>
      <c r="D196" s="22"/>
      <c r="E196" s="22"/>
      <c r="G196" s="22"/>
      <c r="H196" s="22"/>
      <c r="I196" s="22"/>
      <c r="J196" s="22"/>
      <c r="K196" s="22"/>
      <c r="L196" s="22"/>
      <c r="M196" s="41"/>
      <c r="N196" s="41"/>
      <c r="O196" s="31"/>
      <c r="P196" s="31"/>
      <c r="Q196" s="22"/>
      <c r="R196" s="22"/>
      <c r="S196" s="22"/>
      <c r="T196" s="22"/>
      <c r="U196" s="22"/>
      <c r="V196" s="32" t="s">
        <v>394</v>
      </c>
      <c r="W196" s="22"/>
      <c r="X196" s="22"/>
      <c r="Y196" s="29" t="s">
        <v>72</v>
      </c>
      <c r="Z196" s="22"/>
      <c r="AA196" s="37">
        <v>1301.83</v>
      </c>
      <c r="AB196" s="42">
        <v>1822.56</v>
      </c>
      <c r="AC196" s="31"/>
      <c r="AD196" s="32" t="s">
        <v>395</v>
      </c>
      <c r="AE196" s="22"/>
      <c r="AF196" s="29" t="s">
        <v>85</v>
      </c>
      <c r="AG196" s="40"/>
      <c r="AH196" s="40" t="str">
        <f t="shared" si="1"/>
        <v>Bosch</v>
      </c>
      <c r="AI196" s="39" t="s">
        <v>82</v>
      </c>
      <c r="AJ196" s="22"/>
    </row>
    <row r="197" ht="15.75" customHeight="1">
      <c r="A197" s="32" t="s">
        <v>77</v>
      </c>
      <c r="B197" s="32" t="s">
        <v>173</v>
      </c>
      <c r="C197" s="32" t="s">
        <v>387</v>
      </c>
      <c r="D197" s="22"/>
      <c r="E197" s="22"/>
      <c r="G197" s="22"/>
      <c r="H197" s="22"/>
      <c r="I197" s="22"/>
      <c r="J197" s="22"/>
      <c r="K197" s="22"/>
      <c r="L197" s="22"/>
      <c r="M197" s="41"/>
      <c r="N197" s="41"/>
      <c r="O197" s="31"/>
      <c r="P197" s="31"/>
      <c r="Q197" s="22"/>
      <c r="R197" s="22"/>
      <c r="S197" s="22"/>
      <c r="T197" s="22"/>
      <c r="U197" s="22"/>
      <c r="V197" s="32" t="s">
        <v>392</v>
      </c>
      <c r="W197" s="22"/>
      <c r="X197" s="22"/>
      <c r="Y197" s="29" t="s">
        <v>72</v>
      </c>
      <c r="Z197" s="22"/>
      <c r="AA197" s="37">
        <v>1261.3</v>
      </c>
      <c r="AB197" s="42">
        <v>1765.83</v>
      </c>
      <c r="AC197" s="31"/>
      <c r="AD197" s="32" t="s">
        <v>393</v>
      </c>
      <c r="AE197" s="22"/>
      <c r="AF197" s="29" t="s">
        <v>85</v>
      </c>
      <c r="AG197" s="40"/>
      <c r="AH197" s="40" t="str">
        <f t="shared" si="1"/>
        <v>Bosch</v>
      </c>
      <c r="AI197" s="39" t="s">
        <v>82</v>
      </c>
      <c r="AJ197" s="22"/>
    </row>
    <row r="198" ht="15.75" customHeight="1">
      <c r="A198" s="32" t="s">
        <v>77</v>
      </c>
      <c r="B198" s="32" t="s">
        <v>173</v>
      </c>
      <c r="C198" s="32" t="s">
        <v>387</v>
      </c>
      <c r="D198" s="22"/>
      <c r="E198" s="22"/>
      <c r="G198" s="22"/>
      <c r="H198" s="22"/>
      <c r="I198" s="22"/>
      <c r="J198" s="22"/>
      <c r="K198" s="22"/>
      <c r="L198" s="22"/>
      <c r="M198" s="41"/>
      <c r="N198" s="41"/>
      <c r="O198" s="31"/>
      <c r="P198" s="31"/>
      <c r="Q198" s="22"/>
      <c r="R198" s="22"/>
      <c r="S198" s="22"/>
      <c r="T198" s="22"/>
      <c r="U198" s="22"/>
      <c r="V198" s="32" t="s">
        <v>394</v>
      </c>
      <c r="W198" s="22"/>
      <c r="X198" s="22"/>
      <c r="Y198" s="29" t="s">
        <v>72</v>
      </c>
      <c r="Z198" s="22"/>
      <c r="AA198" s="37">
        <v>1301.83</v>
      </c>
      <c r="AB198" s="42">
        <v>1822.56</v>
      </c>
      <c r="AC198" s="31"/>
      <c r="AD198" s="32" t="s">
        <v>395</v>
      </c>
      <c r="AE198" s="22"/>
      <c r="AF198" s="29" t="s">
        <v>85</v>
      </c>
      <c r="AG198" s="40"/>
      <c r="AH198" s="40" t="str">
        <f t="shared" si="1"/>
        <v>Bosch</v>
      </c>
      <c r="AI198" s="39" t="s">
        <v>82</v>
      </c>
      <c r="AJ198" s="22"/>
    </row>
    <row r="199" ht="15.75" customHeight="1">
      <c r="A199" s="32" t="s">
        <v>77</v>
      </c>
      <c r="B199" s="32" t="s">
        <v>173</v>
      </c>
      <c r="C199" s="32" t="s">
        <v>387</v>
      </c>
      <c r="D199" s="22"/>
      <c r="E199" s="22"/>
      <c r="G199" s="22"/>
      <c r="H199" s="22"/>
      <c r="I199" s="22"/>
      <c r="J199" s="22"/>
      <c r="K199" s="22"/>
      <c r="L199" s="22"/>
      <c r="M199" s="41"/>
      <c r="N199" s="41"/>
      <c r="O199" s="31"/>
      <c r="P199" s="31"/>
      <c r="Q199" s="22"/>
      <c r="R199" s="22"/>
      <c r="S199" s="22"/>
      <c r="T199" s="22"/>
      <c r="U199" s="22"/>
      <c r="V199" s="32" t="s">
        <v>396</v>
      </c>
      <c r="W199" s="22"/>
      <c r="X199" s="22"/>
      <c r="Y199" s="29" t="s">
        <v>72</v>
      </c>
      <c r="Z199" s="22"/>
      <c r="AA199" s="37">
        <v>1436.91</v>
      </c>
      <c r="AB199" s="42">
        <v>2011.68</v>
      </c>
      <c r="AC199" s="31"/>
      <c r="AD199" s="32" t="s">
        <v>397</v>
      </c>
      <c r="AE199" s="22"/>
      <c r="AF199" s="29" t="s">
        <v>85</v>
      </c>
      <c r="AG199" s="40"/>
      <c r="AH199" s="40" t="str">
        <f t="shared" si="1"/>
        <v>Bosch</v>
      </c>
      <c r="AI199" s="39" t="s">
        <v>82</v>
      </c>
      <c r="AJ199" s="22"/>
    </row>
    <row r="200" ht="15.75" customHeight="1">
      <c r="A200" s="32" t="s">
        <v>77</v>
      </c>
      <c r="B200" s="32" t="s">
        <v>173</v>
      </c>
      <c r="C200" s="32" t="s">
        <v>387</v>
      </c>
      <c r="D200" s="22"/>
      <c r="E200" s="22"/>
      <c r="G200" s="22"/>
      <c r="H200" s="22"/>
      <c r="I200" s="22"/>
      <c r="J200" s="22"/>
      <c r="K200" s="22"/>
      <c r="L200" s="22"/>
      <c r="M200" s="41"/>
      <c r="N200" s="41"/>
      <c r="O200" s="31"/>
      <c r="P200" s="31"/>
      <c r="Q200" s="22"/>
      <c r="R200" s="22"/>
      <c r="S200" s="22"/>
      <c r="T200" s="22"/>
      <c r="U200" s="22"/>
      <c r="V200" s="32" t="s">
        <v>398</v>
      </c>
      <c r="W200" s="22"/>
      <c r="X200" s="22"/>
      <c r="Y200" s="29" t="s">
        <v>72</v>
      </c>
      <c r="Z200" s="22"/>
      <c r="AA200" s="37">
        <v>1446.92</v>
      </c>
      <c r="AB200" s="42">
        <v>2025.69</v>
      </c>
      <c r="AC200" s="31"/>
      <c r="AD200" s="32" t="s">
        <v>399</v>
      </c>
      <c r="AE200" s="22"/>
      <c r="AF200" s="29" t="s">
        <v>85</v>
      </c>
      <c r="AG200" s="40"/>
      <c r="AH200" s="40" t="str">
        <f t="shared" si="1"/>
        <v>Bosch</v>
      </c>
      <c r="AI200" s="39" t="s">
        <v>82</v>
      </c>
      <c r="AJ200" s="22"/>
    </row>
    <row r="201" ht="15.75" customHeight="1">
      <c r="A201" s="32" t="s">
        <v>77</v>
      </c>
      <c r="B201" s="32" t="s">
        <v>280</v>
      </c>
      <c r="C201" s="32" t="s">
        <v>387</v>
      </c>
      <c r="D201" s="22"/>
      <c r="E201" s="22"/>
      <c r="G201" s="22"/>
      <c r="H201" s="22"/>
      <c r="I201" s="22"/>
      <c r="J201" s="22"/>
      <c r="K201" s="22"/>
      <c r="L201" s="22"/>
      <c r="M201" s="41"/>
      <c r="N201" s="41"/>
      <c r="O201" s="31"/>
      <c r="P201" s="31"/>
      <c r="Q201" s="22"/>
      <c r="R201" s="22"/>
      <c r="S201" s="22"/>
      <c r="T201" s="22"/>
      <c r="U201" s="22"/>
      <c r="V201" s="32" t="s">
        <v>400</v>
      </c>
      <c r="W201" s="22"/>
      <c r="X201" s="22"/>
      <c r="Y201" s="29" t="s">
        <v>72</v>
      </c>
      <c r="Z201" s="22"/>
      <c r="AA201" s="37">
        <v>4308.58</v>
      </c>
      <c r="AB201" s="42">
        <v>6032.01</v>
      </c>
      <c r="AC201" s="31"/>
      <c r="AD201" s="32" t="s">
        <v>401</v>
      </c>
      <c r="AE201" s="22"/>
      <c r="AF201" s="29" t="s">
        <v>85</v>
      </c>
      <c r="AG201" s="40"/>
      <c r="AH201" s="40" t="str">
        <f t="shared" si="1"/>
        <v>Bosch</v>
      </c>
      <c r="AI201" s="39" t="s">
        <v>82</v>
      </c>
      <c r="AJ201" s="22"/>
    </row>
    <row r="202" ht="15.75" customHeight="1">
      <c r="A202" s="32" t="s">
        <v>77</v>
      </c>
      <c r="B202" s="32" t="s">
        <v>280</v>
      </c>
      <c r="C202" s="32" t="s">
        <v>387</v>
      </c>
      <c r="D202" s="22"/>
      <c r="E202" s="22"/>
      <c r="G202" s="22"/>
      <c r="H202" s="22"/>
      <c r="I202" s="22"/>
      <c r="J202" s="22"/>
      <c r="K202" s="22"/>
      <c r="L202" s="22"/>
      <c r="M202" s="41"/>
      <c r="N202" s="41"/>
      <c r="O202" s="31"/>
      <c r="P202" s="31"/>
      <c r="Q202" s="22"/>
      <c r="R202" s="22"/>
      <c r="S202" s="22"/>
      <c r="T202" s="22"/>
      <c r="U202" s="22"/>
      <c r="V202" s="32" t="s">
        <v>400</v>
      </c>
      <c r="W202" s="22"/>
      <c r="X202" s="22"/>
      <c r="Y202" s="29" t="s">
        <v>72</v>
      </c>
      <c r="Z202" s="22"/>
      <c r="AA202" s="37">
        <v>4308.58</v>
      </c>
      <c r="AB202" s="42">
        <v>6032.01</v>
      </c>
      <c r="AC202" s="31"/>
      <c r="AD202" s="32" t="s">
        <v>401</v>
      </c>
      <c r="AE202" s="22"/>
      <c r="AF202" s="29" t="s">
        <v>85</v>
      </c>
      <c r="AG202" s="40"/>
      <c r="AH202" s="40" t="str">
        <f t="shared" si="1"/>
        <v>Bosch</v>
      </c>
      <c r="AI202" s="39" t="s">
        <v>82</v>
      </c>
      <c r="AJ202" s="22"/>
    </row>
    <row r="203" ht="15.75" customHeight="1">
      <c r="A203" s="32" t="s">
        <v>77</v>
      </c>
      <c r="B203" s="32" t="s">
        <v>280</v>
      </c>
      <c r="C203" s="32" t="s">
        <v>387</v>
      </c>
      <c r="D203" s="22"/>
      <c r="E203" s="22"/>
      <c r="G203" s="22"/>
      <c r="H203" s="22"/>
      <c r="I203" s="22"/>
      <c r="J203" s="22"/>
      <c r="K203" s="22"/>
      <c r="L203" s="22"/>
      <c r="M203" s="41"/>
      <c r="N203" s="41"/>
      <c r="O203" s="31"/>
      <c r="P203" s="31"/>
      <c r="Q203" s="22"/>
      <c r="R203" s="22"/>
      <c r="S203" s="22"/>
      <c r="T203" s="22"/>
      <c r="U203" s="22"/>
      <c r="V203" s="32" t="s">
        <v>400</v>
      </c>
      <c r="W203" s="22"/>
      <c r="X203" s="22"/>
      <c r="Y203" s="29" t="s">
        <v>72</v>
      </c>
      <c r="Z203" s="22"/>
      <c r="AA203" s="37">
        <v>4308.58</v>
      </c>
      <c r="AB203" s="42">
        <v>6032.01</v>
      </c>
      <c r="AC203" s="31"/>
      <c r="AD203" s="32" t="s">
        <v>401</v>
      </c>
      <c r="AE203" s="22"/>
      <c r="AF203" s="29" t="s">
        <v>85</v>
      </c>
      <c r="AG203" s="40"/>
      <c r="AH203" s="40" t="str">
        <f t="shared" si="1"/>
        <v>Bosch</v>
      </c>
      <c r="AI203" s="39" t="s">
        <v>82</v>
      </c>
      <c r="AJ203" s="22"/>
    </row>
    <row r="204" ht="15.75" customHeight="1">
      <c r="A204" s="32" t="s">
        <v>77</v>
      </c>
      <c r="B204" s="32" t="s">
        <v>280</v>
      </c>
      <c r="C204" s="32" t="s">
        <v>387</v>
      </c>
      <c r="D204" s="22"/>
      <c r="E204" s="22"/>
      <c r="G204" s="22"/>
      <c r="H204" s="22"/>
      <c r="I204" s="22"/>
      <c r="J204" s="22"/>
      <c r="K204" s="22"/>
      <c r="L204" s="22"/>
      <c r="M204" s="41"/>
      <c r="N204" s="41"/>
      <c r="O204" s="31"/>
      <c r="P204" s="31"/>
      <c r="Q204" s="22"/>
      <c r="R204" s="22"/>
      <c r="S204" s="22"/>
      <c r="T204" s="22"/>
      <c r="U204" s="22"/>
      <c r="V204" s="32" t="s">
        <v>400</v>
      </c>
      <c r="W204" s="22"/>
      <c r="X204" s="22"/>
      <c r="Y204" s="29" t="s">
        <v>72</v>
      </c>
      <c r="Z204" s="22"/>
      <c r="AA204" s="37">
        <v>4308.58</v>
      </c>
      <c r="AB204" s="42">
        <v>6032.01</v>
      </c>
      <c r="AC204" s="31"/>
      <c r="AD204" s="32" t="s">
        <v>401</v>
      </c>
      <c r="AE204" s="22"/>
      <c r="AF204" s="29" t="s">
        <v>85</v>
      </c>
      <c r="AG204" s="40"/>
      <c r="AH204" s="40" t="str">
        <f t="shared" si="1"/>
        <v>Bosch</v>
      </c>
      <c r="AI204" s="39" t="s">
        <v>82</v>
      </c>
      <c r="AJ204" s="22"/>
    </row>
    <row r="205" ht="15.75" customHeight="1">
      <c r="A205" s="32" t="s">
        <v>77</v>
      </c>
      <c r="B205" s="32" t="s">
        <v>280</v>
      </c>
      <c r="C205" s="32" t="s">
        <v>387</v>
      </c>
      <c r="D205" s="22"/>
      <c r="E205" s="22"/>
      <c r="G205" s="22"/>
      <c r="H205" s="22"/>
      <c r="I205" s="22"/>
      <c r="J205" s="22"/>
      <c r="K205" s="22"/>
      <c r="L205" s="22"/>
      <c r="M205" s="41"/>
      <c r="N205" s="41"/>
      <c r="O205" s="31"/>
      <c r="P205" s="31"/>
      <c r="Q205" s="22"/>
      <c r="R205" s="22"/>
      <c r="S205" s="22"/>
      <c r="T205" s="22"/>
      <c r="U205" s="22"/>
      <c r="V205" s="32" t="s">
        <v>400</v>
      </c>
      <c r="W205" s="22"/>
      <c r="X205" s="22"/>
      <c r="Y205" s="29" t="s">
        <v>72</v>
      </c>
      <c r="Z205" s="22"/>
      <c r="AA205" s="37">
        <v>4308.58</v>
      </c>
      <c r="AB205" s="42">
        <v>6032.01</v>
      </c>
      <c r="AC205" s="31"/>
      <c r="AD205" s="32" t="s">
        <v>401</v>
      </c>
      <c r="AE205" s="22"/>
      <c r="AF205" s="29" t="s">
        <v>85</v>
      </c>
      <c r="AG205" s="40"/>
      <c r="AH205" s="40" t="str">
        <f t="shared" si="1"/>
        <v>Bosch</v>
      </c>
      <c r="AI205" s="39" t="s">
        <v>82</v>
      </c>
      <c r="AJ205" s="22"/>
    </row>
    <row r="206" ht="15.75" customHeight="1">
      <c r="A206" s="32" t="s">
        <v>77</v>
      </c>
      <c r="B206" s="32" t="s">
        <v>280</v>
      </c>
      <c r="C206" s="32" t="s">
        <v>387</v>
      </c>
      <c r="D206" s="22"/>
      <c r="E206" s="22"/>
      <c r="G206" s="22"/>
      <c r="H206" s="22"/>
      <c r="I206" s="22"/>
      <c r="J206" s="22"/>
      <c r="K206" s="22"/>
      <c r="L206" s="22"/>
      <c r="M206" s="41"/>
      <c r="N206" s="41"/>
      <c r="O206" s="31"/>
      <c r="P206" s="31"/>
      <c r="Q206" s="22"/>
      <c r="R206" s="22"/>
      <c r="S206" s="22"/>
      <c r="T206" s="22"/>
      <c r="U206" s="22"/>
      <c r="V206" s="32" t="s">
        <v>400</v>
      </c>
      <c r="W206" s="22"/>
      <c r="X206" s="22"/>
      <c r="Y206" s="29" t="s">
        <v>72</v>
      </c>
      <c r="Z206" s="22"/>
      <c r="AA206" s="37">
        <v>4308.58</v>
      </c>
      <c r="AB206" s="42">
        <v>6032.01</v>
      </c>
      <c r="AC206" s="31"/>
      <c r="AD206" s="32" t="s">
        <v>401</v>
      </c>
      <c r="AE206" s="22"/>
      <c r="AF206" s="29" t="s">
        <v>85</v>
      </c>
      <c r="AG206" s="40"/>
      <c r="AH206" s="40" t="str">
        <f t="shared" si="1"/>
        <v>Bosch</v>
      </c>
      <c r="AI206" s="39" t="s">
        <v>82</v>
      </c>
      <c r="AJ206" s="22"/>
    </row>
    <row r="207" ht="15.75" customHeight="1">
      <c r="A207" s="32" t="s">
        <v>77</v>
      </c>
      <c r="B207" s="32" t="s">
        <v>280</v>
      </c>
      <c r="C207" s="32" t="s">
        <v>387</v>
      </c>
      <c r="D207" s="22"/>
      <c r="E207" s="22"/>
      <c r="G207" s="22"/>
      <c r="H207" s="22"/>
      <c r="I207" s="22"/>
      <c r="J207" s="22"/>
      <c r="K207" s="22"/>
      <c r="L207" s="22"/>
      <c r="M207" s="41"/>
      <c r="N207" s="41"/>
      <c r="O207" s="31"/>
      <c r="P207" s="31"/>
      <c r="Q207" s="22"/>
      <c r="R207" s="22"/>
      <c r="S207" s="22"/>
      <c r="T207" s="22"/>
      <c r="U207" s="22"/>
      <c r="V207" s="32" t="s">
        <v>400</v>
      </c>
      <c r="W207" s="22"/>
      <c r="X207" s="22"/>
      <c r="Y207" s="29" t="s">
        <v>72</v>
      </c>
      <c r="Z207" s="22"/>
      <c r="AA207" s="37">
        <v>4308.58</v>
      </c>
      <c r="AB207" s="42">
        <v>6032.01</v>
      </c>
      <c r="AC207" s="31"/>
      <c r="AD207" s="32" t="s">
        <v>401</v>
      </c>
      <c r="AE207" s="22"/>
      <c r="AF207" s="29" t="s">
        <v>85</v>
      </c>
      <c r="AG207" s="40"/>
      <c r="AH207" s="40" t="str">
        <f t="shared" si="1"/>
        <v>Bosch</v>
      </c>
      <c r="AI207" s="39" t="s">
        <v>82</v>
      </c>
      <c r="AJ207" s="22"/>
    </row>
    <row r="208" ht="15.75" customHeight="1">
      <c r="A208" s="32" t="s">
        <v>77</v>
      </c>
      <c r="B208" s="32" t="s">
        <v>280</v>
      </c>
      <c r="C208" s="32" t="s">
        <v>387</v>
      </c>
      <c r="D208" s="22"/>
      <c r="E208" s="22"/>
      <c r="G208" s="22"/>
      <c r="H208" s="22"/>
      <c r="I208" s="22"/>
      <c r="J208" s="22"/>
      <c r="K208" s="22"/>
      <c r="L208" s="22"/>
      <c r="M208" s="41"/>
      <c r="N208" s="41"/>
      <c r="O208" s="31"/>
      <c r="P208" s="31"/>
      <c r="Q208" s="22"/>
      <c r="R208" s="22"/>
      <c r="S208" s="22"/>
      <c r="T208" s="22"/>
      <c r="U208" s="22"/>
      <c r="V208" s="32" t="s">
        <v>402</v>
      </c>
      <c r="W208" s="22"/>
      <c r="X208" s="22"/>
      <c r="Y208" s="29" t="s">
        <v>72</v>
      </c>
      <c r="Z208" s="22"/>
      <c r="AA208" s="37">
        <v>5557.82</v>
      </c>
      <c r="AB208" s="42">
        <v>7780.95</v>
      </c>
      <c r="AC208" s="31"/>
      <c r="AD208" s="32" t="s">
        <v>403</v>
      </c>
      <c r="AE208" s="22"/>
      <c r="AF208" s="29" t="s">
        <v>85</v>
      </c>
      <c r="AG208" s="40"/>
      <c r="AH208" s="40" t="str">
        <f t="shared" si="1"/>
        <v>Bosch</v>
      </c>
      <c r="AI208" s="39" t="s">
        <v>82</v>
      </c>
      <c r="AJ208" s="22"/>
    </row>
    <row r="209" ht="15.75" customHeight="1">
      <c r="A209" s="32" t="s">
        <v>77</v>
      </c>
      <c r="B209" s="32" t="s">
        <v>280</v>
      </c>
      <c r="C209" s="32" t="s">
        <v>387</v>
      </c>
      <c r="D209" s="22"/>
      <c r="E209" s="22"/>
      <c r="G209" s="22"/>
      <c r="H209" s="22"/>
      <c r="I209" s="22"/>
      <c r="J209" s="22"/>
      <c r="K209" s="22"/>
      <c r="L209" s="22"/>
      <c r="M209" s="41"/>
      <c r="N209" s="41"/>
      <c r="O209" s="31"/>
      <c r="P209" s="31"/>
      <c r="Q209" s="22"/>
      <c r="R209" s="22"/>
      <c r="S209" s="22"/>
      <c r="T209" s="22"/>
      <c r="U209" s="22"/>
      <c r="V209" s="32" t="s">
        <v>402</v>
      </c>
      <c r="W209" s="22"/>
      <c r="X209" s="22"/>
      <c r="Y209" s="29" t="s">
        <v>72</v>
      </c>
      <c r="Z209" s="22"/>
      <c r="AA209" s="37">
        <v>5557.82</v>
      </c>
      <c r="AB209" s="42">
        <v>7780.95</v>
      </c>
      <c r="AC209" s="31"/>
      <c r="AD209" s="32" t="s">
        <v>403</v>
      </c>
      <c r="AE209" s="22"/>
      <c r="AF209" s="29" t="s">
        <v>85</v>
      </c>
      <c r="AG209" s="40"/>
      <c r="AH209" s="40" t="str">
        <f t="shared" si="1"/>
        <v>Bosch</v>
      </c>
      <c r="AI209" s="39" t="s">
        <v>82</v>
      </c>
      <c r="AJ209" s="22"/>
    </row>
    <row r="210" ht="15.75" customHeight="1">
      <c r="A210" s="32" t="s">
        <v>77</v>
      </c>
      <c r="B210" s="32" t="s">
        <v>280</v>
      </c>
      <c r="C210" s="32" t="s">
        <v>387</v>
      </c>
      <c r="D210" s="22"/>
      <c r="E210" s="22"/>
      <c r="G210" s="22"/>
      <c r="H210" s="22"/>
      <c r="I210" s="22"/>
      <c r="J210" s="22"/>
      <c r="K210" s="22"/>
      <c r="L210" s="22"/>
      <c r="M210" s="41"/>
      <c r="N210" s="41"/>
      <c r="O210" s="31"/>
      <c r="P210" s="31"/>
      <c r="Q210" s="22"/>
      <c r="R210" s="22"/>
      <c r="S210" s="22"/>
      <c r="T210" s="22"/>
      <c r="U210" s="22"/>
      <c r="V210" s="32" t="s">
        <v>402</v>
      </c>
      <c r="W210" s="22"/>
      <c r="X210" s="22"/>
      <c r="Y210" s="29" t="s">
        <v>72</v>
      </c>
      <c r="Z210" s="22"/>
      <c r="AA210" s="37">
        <v>5557.82</v>
      </c>
      <c r="AB210" s="42">
        <v>7780.95</v>
      </c>
      <c r="AC210" s="31"/>
      <c r="AD210" s="32" t="s">
        <v>403</v>
      </c>
      <c r="AE210" s="22"/>
      <c r="AF210" s="29" t="s">
        <v>85</v>
      </c>
      <c r="AG210" s="40"/>
      <c r="AH210" s="40" t="str">
        <f t="shared" si="1"/>
        <v>Bosch</v>
      </c>
      <c r="AI210" s="39" t="s">
        <v>82</v>
      </c>
      <c r="AJ210" s="22"/>
    </row>
    <row r="211" ht="15.75" customHeight="1">
      <c r="A211" s="32" t="s">
        <v>77</v>
      </c>
      <c r="B211" s="32" t="s">
        <v>280</v>
      </c>
      <c r="C211" s="32" t="s">
        <v>387</v>
      </c>
      <c r="D211" s="22"/>
      <c r="E211" s="22"/>
      <c r="G211" s="22"/>
      <c r="H211" s="22"/>
      <c r="I211" s="22"/>
      <c r="J211" s="22"/>
      <c r="K211" s="22"/>
      <c r="L211" s="22"/>
      <c r="M211" s="41"/>
      <c r="N211" s="41"/>
      <c r="O211" s="31"/>
      <c r="P211" s="31"/>
      <c r="Q211" s="22"/>
      <c r="R211" s="22"/>
      <c r="S211" s="22"/>
      <c r="T211" s="22"/>
      <c r="U211" s="22"/>
      <c r="V211" s="32" t="s">
        <v>402</v>
      </c>
      <c r="W211" s="22"/>
      <c r="X211" s="22"/>
      <c r="Y211" s="29" t="s">
        <v>72</v>
      </c>
      <c r="Z211" s="22"/>
      <c r="AA211" s="37">
        <v>5557.82</v>
      </c>
      <c r="AB211" s="42">
        <v>7780.95</v>
      </c>
      <c r="AC211" s="31"/>
      <c r="AD211" s="32" t="s">
        <v>403</v>
      </c>
      <c r="AE211" s="22"/>
      <c r="AF211" s="29" t="s">
        <v>85</v>
      </c>
      <c r="AG211" s="40"/>
      <c r="AH211" s="40" t="str">
        <f t="shared" si="1"/>
        <v>Bosch</v>
      </c>
      <c r="AI211" s="39" t="s">
        <v>82</v>
      </c>
      <c r="AJ211" s="22"/>
    </row>
    <row r="212" ht="15.75" customHeight="1">
      <c r="A212" s="32" t="s">
        <v>77</v>
      </c>
      <c r="B212" s="32" t="s">
        <v>173</v>
      </c>
      <c r="C212" s="32" t="s">
        <v>387</v>
      </c>
      <c r="D212" s="22"/>
      <c r="E212" s="22"/>
      <c r="G212" s="22"/>
      <c r="H212" s="22"/>
      <c r="I212" s="22"/>
      <c r="J212" s="22"/>
      <c r="K212" s="22"/>
      <c r="L212" s="22"/>
      <c r="M212" s="41"/>
      <c r="N212" s="41"/>
      <c r="O212" s="31"/>
      <c r="P212" s="31"/>
      <c r="Q212" s="22"/>
      <c r="R212" s="22"/>
      <c r="S212" s="22"/>
      <c r="T212" s="22"/>
      <c r="U212" s="22"/>
      <c r="V212" s="32" t="s">
        <v>404</v>
      </c>
      <c r="W212" s="22"/>
      <c r="X212" s="22"/>
      <c r="Y212" s="29" t="s">
        <v>72</v>
      </c>
      <c r="Z212" s="22"/>
      <c r="AA212" s="37">
        <v>912.09</v>
      </c>
      <c r="AB212" s="42">
        <v>1276.92</v>
      </c>
      <c r="AC212" s="31"/>
      <c r="AD212" s="32" t="s">
        <v>405</v>
      </c>
      <c r="AE212" s="22"/>
      <c r="AF212" s="29" t="s">
        <v>85</v>
      </c>
      <c r="AG212" s="40"/>
      <c r="AH212" s="40" t="str">
        <f t="shared" si="1"/>
        <v>Bosch</v>
      </c>
      <c r="AI212" s="39" t="s">
        <v>82</v>
      </c>
      <c r="AJ212" s="22"/>
    </row>
    <row r="213" ht="15.75" customHeight="1">
      <c r="A213" s="32" t="s">
        <v>77</v>
      </c>
      <c r="B213" s="32" t="s">
        <v>173</v>
      </c>
      <c r="C213" s="32" t="s">
        <v>387</v>
      </c>
      <c r="D213" s="22"/>
      <c r="E213" s="22"/>
      <c r="G213" s="22"/>
      <c r="H213" s="22"/>
      <c r="I213" s="22"/>
      <c r="J213" s="22"/>
      <c r="K213" s="22"/>
      <c r="L213" s="22"/>
      <c r="M213" s="41"/>
      <c r="N213" s="41"/>
      <c r="O213" s="31"/>
      <c r="P213" s="31"/>
      <c r="Q213" s="22"/>
      <c r="R213" s="22"/>
      <c r="S213" s="22"/>
      <c r="T213" s="22"/>
      <c r="U213" s="22"/>
      <c r="V213" s="32" t="s">
        <v>406</v>
      </c>
      <c r="W213" s="22"/>
      <c r="X213" s="22"/>
      <c r="Y213" s="29" t="s">
        <v>72</v>
      </c>
      <c r="Z213" s="22"/>
      <c r="AA213" s="37">
        <v>912.09</v>
      </c>
      <c r="AB213" s="42">
        <v>1276.92</v>
      </c>
      <c r="AC213" s="31"/>
      <c r="AD213" s="32" t="s">
        <v>407</v>
      </c>
      <c r="AE213" s="22"/>
      <c r="AF213" s="29" t="s">
        <v>85</v>
      </c>
      <c r="AG213" s="40"/>
      <c r="AH213" s="40" t="str">
        <f t="shared" si="1"/>
        <v>Bosch</v>
      </c>
      <c r="AI213" s="39" t="s">
        <v>82</v>
      </c>
      <c r="AJ213" s="22"/>
    </row>
    <row r="214" ht="15.75" customHeight="1">
      <c r="A214" s="32" t="s">
        <v>77</v>
      </c>
      <c r="B214" s="32" t="s">
        <v>173</v>
      </c>
      <c r="C214" s="32" t="s">
        <v>387</v>
      </c>
      <c r="D214" s="22"/>
      <c r="E214" s="22"/>
      <c r="G214" s="22"/>
      <c r="H214" s="22"/>
      <c r="I214" s="22"/>
      <c r="J214" s="22"/>
      <c r="K214" s="22"/>
      <c r="L214" s="22"/>
      <c r="M214" s="41"/>
      <c r="N214" s="41"/>
      <c r="O214" s="31"/>
      <c r="P214" s="31"/>
      <c r="Q214" s="22"/>
      <c r="R214" s="22"/>
      <c r="S214" s="22"/>
      <c r="T214" s="22"/>
      <c r="U214" s="22"/>
      <c r="V214" s="32" t="s">
        <v>408</v>
      </c>
      <c r="W214" s="22"/>
      <c r="X214" s="22"/>
      <c r="Y214" s="29" t="s">
        <v>72</v>
      </c>
      <c r="Z214" s="22"/>
      <c r="AA214" s="37">
        <v>938.1</v>
      </c>
      <c r="AB214" s="42">
        <v>1313.34</v>
      </c>
      <c r="AC214" s="31"/>
      <c r="AD214" s="32" t="s">
        <v>409</v>
      </c>
      <c r="AE214" s="22"/>
      <c r="AF214" s="29" t="s">
        <v>85</v>
      </c>
      <c r="AG214" s="40"/>
      <c r="AH214" s="40" t="str">
        <f t="shared" si="1"/>
        <v>Bosch</v>
      </c>
      <c r="AI214" s="39" t="s">
        <v>82</v>
      </c>
      <c r="AJ214" s="22"/>
    </row>
    <row r="215" ht="15.75" customHeight="1">
      <c r="A215" s="32" t="s">
        <v>77</v>
      </c>
      <c r="B215" s="32" t="s">
        <v>173</v>
      </c>
      <c r="C215" s="32" t="s">
        <v>387</v>
      </c>
      <c r="D215" s="22"/>
      <c r="E215" s="22"/>
      <c r="G215" s="22"/>
      <c r="H215" s="22"/>
      <c r="I215" s="22"/>
      <c r="J215" s="22"/>
      <c r="K215" s="22"/>
      <c r="L215" s="22"/>
      <c r="M215" s="41"/>
      <c r="N215" s="41"/>
      <c r="O215" s="31"/>
      <c r="P215" s="31"/>
      <c r="Q215" s="22"/>
      <c r="R215" s="22"/>
      <c r="S215" s="22"/>
      <c r="T215" s="22"/>
      <c r="U215" s="22"/>
      <c r="V215" s="32" t="s">
        <v>410</v>
      </c>
      <c r="W215" s="22"/>
      <c r="X215" s="22"/>
      <c r="Y215" s="29" t="s">
        <v>72</v>
      </c>
      <c r="Z215" s="22"/>
      <c r="AA215" s="37">
        <v>938.1</v>
      </c>
      <c r="AB215" s="42">
        <v>1313.34</v>
      </c>
      <c r="AC215" s="31"/>
      <c r="AD215" s="32" t="s">
        <v>411</v>
      </c>
      <c r="AE215" s="22"/>
      <c r="AF215" s="29" t="s">
        <v>85</v>
      </c>
      <c r="AG215" s="40"/>
      <c r="AH215" s="40" t="str">
        <f t="shared" si="1"/>
        <v>Bosch</v>
      </c>
      <c r="AI215" s="39" t="s">
        <v>82</v>
      </c>
      <c r="AJ215" s="22"/>
    </row>
    <row r="216" ht="15.75" customHeight="1">
      <c r="A216" s="32" t="s">
        <v>77</v>
      </c>
      <c r="B216" s="32" t="s">
        <v>173</v>
      </c>
      <c r="C216" s="32" t="s">
        <v>387</v>
      </c>
      <c r="D216" s="22"/>
      <c r="E216" s="22"/>
      <c r="G216" s="22"/>
      <c r="H216" s="22"/>
      <c r="I216" s="22"/>
      <c r="J216" s="22"/>
      <c r="K216" s="22"/>
      <c r="L216" s="22"/>
      <c r="M216" s="41"/>
      <c r="N216" s="41"/>
      <c r="O216" s="31"/>
      <c r="P216" s="31"/>
      <c r="Q216" s="22"/>
      <c r="R216" s="22"/>
      <c r="S216" s="22"/>
      <c r="T216" s="22"/>
      <c r="U216" s="22"/>
      <c r="V216" s="32" t="s">
        <v>412</v>
      </c>
      <c r="W216" s="22"/>
      <c r="X216" s="22"/>
      <c r="Y216" s="29" t="s">
        <v>72</v>
      </c>
      <c r="Z216" s="22"/>
      <c r="AA216" s="37">
        <v>1072.69</v>
      </c>
      <c r="AB216" s="42">
        <v>1501.76</v>
      </c>
      <c r="AC216" s="31"/>
      <c r="AD216" s="32" t="s">
        <v>413</v>
      </c>
      <c r="AE216" s="22"/>
      <c r="AF216" s="29" t="s">
        <v>85</v>
      </c>
      <c r="AG216" s="40"/>
      <c r="AH216" s="40" t="str">
        <f t="shared" si="1"/>
        <v>Bosch</v>
      </c>
      <c r="AI216" s="39" t="s">
        <v>82</v>
      </c>
      <c r="AJ216" s="22"/>
    </row>
    <row r="217" ht="15.75" customHeight="1">
      <c r="A217" s="32" t="s">
        <v>77</v>
      </c>
      <c r="B217" s="32" t="s">
        <v>173</v>
      </c>
      <c r="C217" s="32" t="s">
        <v>387</v>
      </c>
      <c r="D217" s="22"/>
      <c r="E217" s="22"/>
      <c r="G217" s="22"/>
      <c r="H217" s="22"/>
      <c r="I217" s="22"/>
      <c r="J217" s="22"/>
      <c r="K217" s="22"/>
      <c r="L217" s="22"/>
      <c r="M217" s="41"/>
      <c r="N217" s="41"/>
      <c r="O217" s="31"/>
      <c r="P217" s="31"/>
      <c r="Q217" s="22"/>
      <c r="R217" s="22"/>
      <c r="S217" s="22"/>
      <c r="T217" s="22"/>
      <c r="U217" s="22"/>
      <c r="V217" s="32" t="s">
        <v>392</v>
      </c>
      <c r="W217" s="22"/>
      <c r="X217" s="22"/>
      <c r="Y217" s="29" t="s">
        <v>72</v>
      </c>
      <c r="Z217" s="22"/>
      <c r="AA217" s="37">
        <v>1261.3</v>
      </c>
      <c r="AB217" s="42">
        <v>1765.83</v>
      </c>
      <c r="AC217" s="31"/>
      <c r="AD217" s="32" t="s">
        <v>393</v>
      </c>
      <c r="AE217" s="22"/>
      <c r="AF217" s="29" t="s">
        <v>85</v>
      </c>
      <c r="AG217" s="40"/>
      <c r="AH217" s="40" t="str">
        <f t="shared" si="1"/>
        <v>Bosch</v>
      </c>
      <c r="AI217" s="39" t="s">
        <v>82</v>
      </c>
      <c r="AJ217" s="22"/>
    </row>
    <row r="218" ht="15.75" customHeight="1">
      <c r="A218" s="32" t="s">
        <v>77</v>
      </c>
      <c r="B218" s="32" t="s">
        <v>173</v>
      </c>
      <c r="C218" s="32" t="s">
        <v>387</v>
      </c>
      <c r="D218" s="22"/>
      <c r="E218" s="22"/>
      <c r="G218" s="22"/>
      <c r="H218" s="22"/>
      <c r="I218" s="22"/>
      <c r="J218" s="22"/>
      <c r="K218" s="22"/>
      <c r="L218" s="22"/>
      <c r="M218" s="41"/>
      <c r="N218" s="41"/>
      <c r="O218" s="31"/>
      <c r="P218" s="31"/>
      <c r="Q218" s="22"/>
      <c r="R218" s="22"/>
      <c r="S218" s="22"/>
      <c r="T218" s="22"/>
      <c r="U218" s="22"/>
      <c r="V218" s="32" t="s">
        <v>394</v>
      </c>
      <c r="W218" s="22"/>
      <c r="X218" s="22"/>
      <c r="Y218" s="29" t="s">
        <v>72</v>
      </c>
      <c r="Z218" s="22"/>
      <c r="AA218" s="37">
        <v>1301.83</v>
      </c>
      <c r="AB218" s="42">
        <v>1822.56</v>
      </c>
      <c r="AC218" s="31"/>
      <c r="AD218" s="32" t="s">
        <v>395</v>
      </c>
      <c r="AE218" s="22"/>
      <c r="AF218" s="29" t="s">
        <v>85</v>
      </c>
      <c r="AG218" s="40"/>
      <c r="AH218" s="40" t="str">
        <f t="shared" si="1"/>
        <v>Bosch</v>
      </c>
      <c r="AI218" s="39" t="s">
        <v>82</v>
      </c>
      <c r="AJ218" s="22"/>
    </row>
    <row r="219" ht="15.75" customHeight="1">
      <c r="A219" s="32" t="s">
        <v>77</v>
      </c>
      <c r="B219" s="32" t="s">
        <v>173</v>
      </c>
      <c r="C219" s="32" t="s">
        <v>387</v>
      </c>
      <c r="D219" s="22"/>
      <c r="E219" s="22"/>
      <c r="G219" s="22"/>
      <c r="H219" s="22"/>
      <c r="I219" s="22"/>
      <c r="J219" s="22"/>
      <c r="K219" s="22"/>
      <c r="L219" s="22"/>
      <c r="M219" s="41"/>
      <c r="N219" s="41"/>
      <c r="O219" s="31"/>
      <c r="P219" s="31"/>
      <c r="Q219" s="22"/>
      <c r="R219" s="22"/>
      <c r="S219" s="22"/>
      <c r="T219" s="22"/>
      <c r="U219" s="22"/>
      <c r="V219" s="32" t="s">
        <v>392</v>
      </c>
      <c r="W219" s="22"/>
      <c r="X219" s="22"/>
      <c r="Y219" s="29" t="s">
        <v>72</v>
      </c>
      <c r="Z219" s="22"/>
      <c r="AA219" s="37">
        <v>1261.3</v>
      </c>
      <c r="AB219" s="42">
        <v>1765.83</v>
      </c>
      <c r="AC219" s="31"/>
      <c r="AD219" s="32" t="s">
        <v>393</v>
      </c>
      <c r="AE219" s="22"/>
      <c r="AF219" s="29" t="s">
        <v>85</v>
      </c>
      <c r="AG219" s="40"/>
      <c r="AH219" s="40" t="str">
        <f t="shared" si="1"/>
        <v>Bosch</v>
      </c>
      <c r="AI219" s="39" t="s">
        <v>82</v>
      </c>
      <c r="AJ219" s="22"/>
    </row>
    <row r="220" ht="15.75" customHeight="1">
      <c r="A220" s="32" t="s">
        <v>77</v>
      </c>
      <c r="B220" s="32" t="s">
        <v>173</v>
      </c>
      <c r="C220" s="32" t="s">
        <v>387</v>
      </c>
      <c r="D220" s="22"/>
      <c r="E220" s="22"/>
      <c r="G220" s="22"/>
      <c r="H220" s="22"/>
      <c r="I220" s="22"/>
      <c r="J220" s="22"/>
      <c r="K220" s="22"/>
      <c r="L220" s="22"/>
      <c r="M220" s="41"/>
      <c r="N220" s="41"/>
      <c r="O220" s="31"/>
      <c r="P220" s="31"/>
      <c r="Q220" s="22"/>
      <c r="R220" s="22"/>
      <c r="S220" s="22"/>
      <c r="T220" s="22"/>
      <c r="U220" s="22"/>
      <c r="V220" s="32" t="s">
        <v>394</v>
      </c>
      <c r="W220" s="22"/>
      <c r="X220" s="22"/>
      <c r="Y220" s="29" t="s">
        <v>72</v>
      </c>
      <c r="Z220" s="22"/>
      <c r="AA220" s="37">
        <v>1301.83</v>
      </c>
      <c r="AB220" s="42">
        <v>1822.56</v>
      </c>
      <c r="AC220" s="31"/>
      <c r="AD220" s="32" t="s">
        <v>395</v>
      </c>
      <c r="AE220" s="22"/>
      <c r="AF220" s="29" t="s">
        <v>85</v>
      </c>
      <c r="AG220" s="40"/>
      <c r="AH220" s="40" t="str">
        <f t="shared" si="1"/>
        <v>Bosch</v>
      </c>
      <c r="AI220" s="39" t="s">
        <v>82</v>
      </c>
      <c r="AJ220" s="22"/>
    </row>
    <row r="221" ht="15.75" customHeight="1">
      <c r="A221" s="43" t="s">
        <v>77</v>
      </c>
      <c r="B221" s="43" t="s">
        <v>173</v>
      </c>
      <c r="C221" s="43" t="s">
        <v>387</v>
      </c>
      <c r="G221" s="44"/>
      <c r="H221" s="44"/>
      <c r="I221" s="44"/>
      <c r="J221" s="44"/>
      <c r="V221" s="43" t="s">
        <v>396</v>
      </c>
      <c r="Y221" s="29" t="s">
        <v>72</v>
      </c>
      <c r="AA221" s="37">
        <v>1436.91</v>
      </c>
      <c r="AB221" s="45">
        <v>2011.68</v>
      </c>
      <c r="AD221" s="43" t="s">
        <v>397</v>
      </c>
      <c r="AF221" s="46" t="s">
        <v>85</v>
      </c>
      <c r="AH221" s="40" t="str">
        <f t="shared" si="1"/>
        <v>Bosch</v>
      </c>
      <c r="AI221" s="39" t="s">
        <v>82</v>
      </c>
    </row>
    <row r="222" ht="15.75" customHeight="1">
      <c r="A222" s="43" t="s">
        <v>77</v>
      </c>
      <c r="B222" s="43" t="s">
        <v>173</v>
      </c>
      <c r="C222" s="43" t="s">
        <v>387</v>
      </c>
      <c r="G222" s="44"/>
      <c r="H222" s="44"/>
      <c r="I222" s="44"/>
      <c r="J222" s="44"/>
      <c r="V222" s="43" t="s">
        <v>398</v>
      </c>
      <c r="Y222" s="29" t="s">
        <v>72</v>
      </c>
      <c r="AA222" s="37">
        <v>1446.92</v>
      </c>
      <c r="AB222" s="45">
        <v>2025.69</v>
      </c>
      <c r="AD222" s="43" t="s">
        <v>399</v>
      </c>
      <c r="AF222" s="46" t="s">
        <v>85</v>
      </c>
      <c r="AH222" s="40" t="str">
        <f t="shared" si="1"/>
        <v>Bosch</v>
      </c>
      <c r="AI222" s="39" t="s">
        <v>82</v>
      </c>
    </row>
    <row r="223" ht="15.75" customHeight="1">
      <c r="A223" s="43" t="s">
        <v>77</v>
      </c>
      <c r="B223" s="43" t="s">
        <v>280</v>
      </c>
      <c r="C223" s="43" t="s">
        <v>387</v>
      </c>
      <c r="G223" s="44"/>
      <c r="H223" s="44"/>
      <c r="I223" s="44"/>
      <c r="J223" s="44"/>
      <c r="V223" s="43" t="s">
        <v>414</v>
      </c>
      <c r="Y223" s="29" t="s">
        <v>72</v>
      </c>
      <c r="AA223" s="37">
        <v>6329.53</v>
      </c>
      <c r="AB223" s="45">
        <v>8861.34</v>
      </c>
      <c r="AD223" s="43" t="s">
        <v>415</v>
      </c>
      <c r="AF223" s="46" t="s">
        <v>85</v>
      </c>
      <c r="AH223" s="40" t="str">
        <f t="shared" si="1"/>
        <v>Bosch</v>
      </c>
      <c r="AI223" s="39" t="s">
        <v>82</v>
      </c>
    </row>
    <row r="224" ht="15.75" customHeight="1">
      <c r="A224" s="43" t="s">
        <v>77</v>
      </c>
      <c r="B224" s="43" t="s">
        <v>280</v>
      </c>
      <c r="C224" s="43" t="s">
        <v>387</v>
      </c>
      <c r="G224" s="44"/>
      <c r="H224" s="44"/>
      <c r="I224" s="44"/>
      <c r="J224" s="44"/>
      <c r="V224" s="43" t="s">
        <v>414</v>
      </c>
      <c r="Y224" s="29" t="s">
        <v>72</v>
      </c>
      <c r="AA224" s="37">
        <v>6329.53</v>
      </c>
      <c r="AB224" s="45">
        <v>8861.34</v>
      </c>
      <c r="AD224" s="43" t="s">
        <v>415</v>
      </c>
      <c r="AF224" s="46" t="s">
        <v>85</v>
      </c>
      <c r="AH224" s="40" t="str">
        <f t="shared" si="1"/>
        <v>Bosch</v>
      </c>
      <c r="AI224" s="39" t="s">
        <v>82</v>
      </c>
    </row>
    <row r="225" ht="15.75" customHeight="1">
      <c r="A225" s="43" t="s">
        <v>77</v>
      </c>
      <c r="B225" s="43" t="s">
        <v>280</v>
      </c>
      <c r="C225" s="43" t="s">
        <v>387</v>
      </c>
      <c r="G225" s="44"/>
      <c r="H225" s="44"/>
      <c r="I225" s="44"/>
      <c r="J225" s="44"/>
      <c r="V225" s="43" t="s">
        <v>414</v>
      </c>
      <c r="Y225" s="29" t="s">
        <v>72</v>
      </c>
      <c r="AA225" s="37">
        <v>6329.53</v>
      </c>
      <c r="AB225" s="45">
        <v>8861.34</v>
      </c>
      <c r="AD225" s="43" t="s">
        <v>415</v>
      </c>
      <c r="AF225" s="46" t="s">
        <v>85</v>
      </c>
      <c r="AH225" s="40" t="str">
        <f t="shared" si="1"/>
        <v>Bosch</v>
      </c>
      <c r="AI225" s="39" t="s">
        <v>82</v>
      </c>
    </row>
    <row r="226" ht="15.75" customHeight="1">
      <c r="A226" s="43" t="s">
        <v>77</v>
      </c>
      <c r="B226" s="43" t="s">
        <v>280</v>
      </c>
      <c r="C226" s="43" t="s">
        <v>387</v>
      </c>
      <c r="G226" s="44"/>
      <c r="H226" s="44"/>
      <c r="I226" s="44"/>
      <c r="J226" s="44"/>
      <c r="V226" s="43" t="s">
        <v>414</v>
      </c>
      <c r="Y226" s="29" t="s">
        <v>72</v>
      </c>
      <c r="AA226" s="37">
        <v>6329.53</v>
      </c>
      <c r="AB226" s="45">
        <v>8861.34</v>
      </c>
      <c r="AD226" s="43" t="s">
        <v>415</v>
      </c>
      <c r="AF226" s="46" t="s">
        <v>85</v>
      </c>
      <c r="AH226" s="40" t="str">
        <f t="shared" si="1"/>
        <v>Bosch</v>
      </c>
      <c r="AI226" s="39" t="s">
        <v>82</v>
      </c>
    </row>
    <row r="227" ht="15.75" customHeight="1">
      <c r="A227" s="43" t="s">
        <v>77</v>
      </c>
      <c r="B227" s="43" t="s">
        <v>173</v>
      </c>
      <c r="C227" s="43" t="s">
        <v>387</v>
      </c>
      <c r="G227" s="44"/>
      <c r="H227" s="44"/>
      <c r="I227" s="44"/>
      <c r="J227" s="44"/>
      <c r="V227" s="43" t="s">
        <v>392</v>
      </c>
      <c r="Y227" s="29" t="s">
        <v>72</v>
      </c>
      <c r="AA227" s="37">
        <v>1261.3</v>
      </c>
      <c r="AB227" s="45">
        <v>1765.83</v>
      </c>
      <c r="AD227" s="43" t="s">
        <v>393</v>
      </c>
      <c r="AF227" s="46" t="s">
        <v>85</v>
      </c>
      <c r="AH227" s="40" t="str">
        <f t="shared" si="1"/>
        <v>Bosch</v>
      </c>
      <c r="AI227" s="39" t="s">
        <v>82</v>
      </c>
    </row>
    <row r="228" ht="15.75" customHeight="1">
      <c r="A228" s="43" t="s">
        <v>77</v>
      </c>
      <c r="B228" s="43" t="s">
        <v>173</v>
      </c>
      <c r="C228" s="43" t="s">
        <v>387</v>
      </c>
      <c r="G228" s="44"/>
      <c r="H228" s="44"/>
      <c r="I228" s="44"/>
      <c r="J228" s="44"/>
      <c r="V228" s="43" t="s">
        <v>394</v>
      </c>
      <c r="Y228" s="29" t="s">
        <v>72</v>
      </c>
      <c r="AA228" s="37">
        <v>1301.83</v>
      </c>
      <c r="AB228" s="45">
        <v>1822.56</v>
      </c>
      <c r="AD228" s="43" t="s">
        <v>395</v>
      </c>
      <c r="AF228" s="46" t="s">
        <v>85</v>
      </c>
      <c r="AH228" s="40" t="str">
        <f t="shared" si="1"/>
        <v>Bosch</v>
      </c>
      <c r="AI228" s="39" t="s">
        <v>82</v>
      </c>
    </row>
    <row r="229" ht="15.75" customHeight="1">
      <c r="A229" s="43" t="s">
        <v>77</v>
      </c>
      <c r="B229" s="43" t="s">
        <v>173</v>
      </c>
      <c r="C229" s="43" t="s">
        <v>387</v>
      </c>
      <c r="G229" s="44"/>
      <c r="H229" s="44"/>
      <c r="I229" s="44"/>
      <c r="J229" s="44"/>
      <c r="V229" s="43" t="s">
        <v>396</v>
      </c>
      <c r="Y229" s="29" t="s">
        <v>72</v>
      </c>
      <c r="AA229" s="37">
        <v>1436.91</v>
      </c>
      <c r="AB229" s="45">
        <v>2011.68</v>
      </c>
      <c r="AD229" s="43" t="s">
        <v>397</v>
      </c>
      <c r="AF229" s="46" t="s">
        <v>85</v>
      </c>
      <c r="AH229" s="40" t="str">
        <f t="shared" si="1"/>
        <v>Bosch</v>
      </c>
      <c r="AI229" s="39" t="s">
        <v>82</v>
      </c>
    </row>
    <row r="230" ht="15.75" customHeight="1">
      <c r="A230" s="43" t="s">
        <v>77</v>
      </c>
      <c r="B230" s="43" t="s">
        <v>173</v>
      </c>
      <c r="C230" s="43" t="s">
        <v>387</v>
      </c>
      <c r="G230" s="44"/>
      <c r="H230" s="44"/>
      <c r="I230" s="44"/>
      <c r="J230" s="44"/>
      <c r="V230" s="43" t="s">
        <v>398</v>
      </c>
      <c r="Y230" s="29" t="s">
        <v>72</v>
      </c>
      <c r="AA230" s="37">
        <v>1446.92</v>
      </c>
      <c r="AB230" s="45">
        <v>2025.69</v>
      </c>
      <c r="AD230" s="43" t="s">
        <v>399</v>
      </c>
      <c r="AF230" s="46" t="s">
        <v>85</v>
      </c>
      <c r="AH230" s="40" t="str">
        <f t="shared" si="1"/>
        <v>Bosch</v>
      </c>
      <c r="AI230" s="39" t="s">
        <v>82</v>
      </c>
    </row>
    <row r="231" ht="15.75" customHeight="1">
      <c r="A231" s="43" t="s">
        <v>77</v>
      </c>
      <c r="B231" s="43" t="s">
        <v>280</v>
      </c>
      <c r="C231" s="43" t="s">
        <v>387</v>
      </c>
      <c r="G231" s="44"/>
      <c r="H231" s="44"/>
      <c r="I231" s="44"/>
      <c r="J231" s="44"/>
      <c r="V231" s="43" t="s">
        <v>416</v>
      </c>
      <c r="Y231" s="29" t="s">
        <v>72</v>
      </c>
      <c r="AA231" s="37">
        <v>2457.36</v>
      </c>
      <c r="AB231" s="45">
        <v>3440.3</v>
      </c>
      <c r="AD231" s="43" t="s">
        <v>417</v>
      </c>
      <c r="AF231" s="46" t="s">
        <v>85</v>
      </c>
      <c r="AH231" s="40" t="str">
        <f t="shared" si="1"/>
        <v>Bosch</v>
      </c>
      <c r="AI231" s="39" t="s">
        <v>82</v>
      </c>
    </row>
    <row r="232" ht="15.75" customHeight="1">
      <c r="A232" s="43" t="s">
        <v>77</v>
      </c>
      <c r="B232" s="43" t="s">
        <v>280</v>
      </c>
      <c r="C232" s="43" t="s">
        <v>387</v>
      </c>
      <c r="G232" s="44"/>
      <c r="H232" s="44"/>
      <c r="I232" s="44"/>
      <c r="J232" s="44"/>
      <c r="V232" s="43" t="s">
        <v>388</v>
      </c>
      <c r="Y232" s="29" t="s">
        <v>72</v>
      </c>
      <c r="AA232" s="37">
        <v>2781.84</v>
      </c>
      <c r="AB232" s="45">
        <v>3894.58</v>
      </c>
      <c r="AD232" s="43" t="s">
        <v>389</v>
      </c>
      <c r="AF232" s="46" t="s">
        <v>85</v>
      </c>
      <c r="AH232" s="40" t="str">
        <f t="shared" si="1"/>
        <v>Bosch</v>
      </c>
      <c r="AI232" s="39" t="s">
        <v>82</v>
      </c>
    </row>
    <row r="233" ht="15.75" customHeight="1">
      <c r="A233" s="43" t="s">
        <v>77</v>
      </c>
      <c r="B233" s="43" t="s">
        <v>280</v>
      </c>
      <c r="C233" s="43" t="s">
        <v>387</v>
      </c>
      <c r="G233" s="44"/>
      <c r="H233" s="44"/>
      <c r="I233" s="44"/>
      <c r="J233" s="44"/>
      <c r="V233" s="43" t="s">
        <v>388</v>
      </c>
      <c r="Y233" s="29" t="s">
        <v>72</v>
      </c>
      <c r="AA233" s="37">
        <v>2781.84</v>
      </c>
      <c r="AB233" s="45">
        <v>3894.58</v>
      </c>
      <c r="AD233" s="43" t="s">
        <v>389</v>
      </c>
      <c r="AF233" s="46" t="s">
        <v>85</v>
      </c>
      <c r="AH233" s="40" t="str">
        <f t="shared" si="1"/>
        <v>Bosch</v>
      </c>
      <c r="AI233" s="39" t="s">
        <v>82</v>
      </c>
    </row>
    <row r="234" ht="15.75" customHeight="1">
      <c r="A234" s="43" t="s">
        <v>77</v>
      </c>
      <c r="B234" s="43" t="s">
        <v>280</v>
      </c>
      <c r="C234" s="43" t="s">
        <v>387</v>
      </c>
      <c r="G234" s="44"/>
      <c r="H234" s="44"/>
      <c r="I234" s="44"/>
      <c r="J234" s="44"/>
      <c r="V234" s="43" t="s">
        <v>390</v>
      </c>
      <c r="Y234" s="29" t="s">
        <v>72</v>
      </c>
      <c r="AA234" s="37">
        <v>3740.51</v>
      </c>
      <c r="AB234" s="45">
        <v>5236.71</v>
      </c>
      <c r="AD234" s="43" t="s">
        <v>391</v>
      </c>
      <c r="AF234" s="46" t="s">
        <v>85</v>
      </c>
      <c r="AH234" s="40" t="str">
        <f t="shared" si="1"/>
        <v>Bosch</v>
      </c>
      <c r="AI234" s="39" t="s">
        <v>82</v>
      </c>
    </row>
    <row r="235" ht="15.75" customHeight="1">
      <c r="A235" s="43" t="s">
        <v>77</v>
      </c>
      <c r="B235" s="43" t="s">
        <v>280</v>
      </c>
      <c r="C235" s="43" t="s">
        <v>387</v>
      </c>
      <c r="G235" s="44"/>
      <c r="H235" s="44"/>
      <c r="I235" s="44"/>
      <c r="J235" s="44"/>
      <c r="V235" s="43" t="s">
        <v>390</v>
      </c>
      <c r="Y235" s="29" t="s">
        <v>72</v>
      </c>
      <c r="AA235" s="37">
        <v>3740.51</v>
      </c>
      <c r="AB235" s="45">
        <v>5236.71</v>
      </c>
      <c r="AD235" s="43" t="s">
        <v>391</v>
      </c>
      <c r="AF235" s="46" t="s">
        <v>85</v>
      </c>
      <c r="AH235" s="40" t="str">
        <f t="shared" si="1"/>
        <v>Bosch</v>
      </c>
      <c r="AI235" s="39" t="s">
        <v>82</v>
      </c>
    </row>
    <row r="236" ht="15.75" customHeight="1">
      <c r="A236" s="43" t="s">
        <v>77</v>
      </c>
      <c r="B236" s="43" t="s">
        <v>280</v>
      </c>
      <c r="C236" s="43" t="s">
        <v>387</v>
      </c>
      <c r="G236" s="44"/>
      <c r="H236" s="44"/>
      <c r="I236" s="44"/>
      <c r="J236" s="44"/>
      <c r="V236" s="43" t="s">
        <v>390</v>
      </c>
      <c r="Y236" s="29" t="s">
        <v>72</v>
      </c>
      <c r="AA236" s="37">
        <v>3740.51</v>
      </c>
      <c r="AB236" s="45">
        <v>5236.71</v>
      </c>
      <c r="AD236" s="43" t="s">
        <v>391</v>
      </c>
      <c r="AF236" s="46" t="s">
        <v>85</v>
      </c>
      <c r="AH236" s="40" t="str">
        <f t="shared" si="1"/>
        <v>Bosch</v>
      </c>
      <c r="AI236" s="39" t="s">
        <v>82</v>
      </c>
    </row>
    <row r="237" ht="15.75" customHeight="1">
      <c r="A237" s="43" t="s">
        <v>77</v>
      </c>
      <c r="B237" s="43" t="s">
        <v>78</v>
      </c>
      <c r="C237" s="43" t="s">
        <v>387</v>
      </c>
      <c r="G237" s="44"/>
      <c r="H237" s="44"/>
      <c r="I237" s="44"/>
      <c r="J237" s="44"/>
      <c r="V237" s="43" t="s">
        <v>418</v>
      </c>
      <c r="Y237" s="29" t="s">
        <v>72</v>
      </c>
      <c r="AA237" s="37">
        <v>1077.32</v>
      </c>
      <c r="AB237" s="45">
        <v>1508.25</v>
      </c>
      <c r="AD237" s="43" t="s">
        <v>419</v>
      </c>
      <c r="AF237" s="46" t="s">
        <v>85</v>
      </c>
      <c r="AH237" s="40" t="str">
        <f t="shared" si="1"/>
        <v>Bosch</v>
      </c>
      <c r="AI237" s="39" t="s">
        <v>82</v>
      </c>
    </row>
    <row r="238" ht="15.75" customHeight="1">
      <c r="A238" s="43" t="s">
        <v>77</v>
      </c>
      <c r="B238" s="43" t="s">
        <v>78</v>
      </c>
      <c r="C238" s="43" t="s">
        <v>387</v>
      </c>
      <c r="G238" s="44"/>
      <c r="H238" s="44"/>
      <c r="I238" s="44"/>
      <c r="J238" s="44"/>
      <c r="V238" s="43" t="s">
        <v>418</v>
      </c>
      <c r="Y238" s="29" t="s">
        <v>72</v>
      </c>
      <c r="AA238" s="37">
        <v>1077.32</v>
      </c>
      <c r="AB238" s="45">
        <v>1508.25</v>
      </c>
      <c r="AD238" s="43" t="s">
        <v>419</v>
      </c>
      <c r="AF238" s="46" t="s">
        <v>85</v>
      </c>
      <c r="AH238" s="40" t="str">
        <f t="shared" si="1"/>
        <v>Bosch</v>
      </c>
      <c r="AI238" s="39" t="s">
        <v>82</v>
      </c>
    </row>
    <row r="239" ht="15.75" customHeight="1">
      <c r="A239" s="43" t="s">
        <v>77</v>
      </c>
      <c r="B239" s="43" t="s">
        <v>78</v>
      </c>
      <c r="C239" s="43" t="s">
        <v>387</v>
      </c>
      <c r="G239" s="44"/>
      <c r="H239" s="44"/>
      <c r="I239" s="44"/>
      <c r="J239" s="44"/>
      <c r="V239" s="43" t="s">
        <v>420</v>
      </c>
      <c r="Y239" s="29" t="s">
        <v>72</v>
      </c>
      <c r="AA239" s="37">
        <v>1305.09</v>
      </c>
      <c r="AB239" s="45">
        <v>1827.13</v>
      </c>
      <c r="AD239" s="43" t="s">
        <v>421</v>
      </c>
      <c r="AF239" s="46" t="s">
        <v>85</v>
      </c>
      <c r="AH239" s="40" t="str">
        <f t="shared" si="1"/>
        <v>Bosch</v>
      </c>
      <c r="AI239" s="39" t="s">
        <v>82</v>
      </c>
    </row>
    <row r="240" ht="15.75" customHeight="1">
      <c r="A240" s="43" t="s">
        <v>77</v>
      </c>
      <c r="B240" s="43" t="s">
        <v>78</v>
      </c>
      <c r="C240" s="43" t="s">
        <v>387</v>
      </c>
      <c r="G240" s="44"/>
      <c r="H240" s="44"/>
      <c r="I240" s="44"/>
      <c r="J240" s="44"/>
      <c r="V240" s="43" t="s">
        <v>420</v>
      </c>
      <c r="Y240" s="29" t="s">
        <v>72</v>
      </c>
      <c r="AA240" s="37">
        <v>1305.09</v>
      </c>
      <c r="AB240" s="45">
        <v>1827.13</v>
      </c>
      <c r="AD240" s="43" t="s">
        <v>421</v>
      </c>
      <c r="AF240" s="46" t="s">
        <v>85</v>
      </c>
      <c r="AH240" s="40" t="str">
        <f t="shared" si="1"/>
        <v>Bosch</v>
      </c>
      <c r="AI240" s="39" t="s">
        <v>82</v>
      </c>
    </row>
    <row r="241" ht="15.75" customHeight="1">
      <c r="A241" s="43" t="s">
        <v>77</v>
      </c>
      <c r="B241" s="43" t="s">
        <v>78</v>
      </c>
      <c r="C241" s="43" t="s">
        <v>387</v>
      </c>
      <c r="G241" s="44"/>
      <c r="H241" s="44"/>
      <c r="I241" s="44"/>
      <c r="J241" s="44"/>
      <c r="V241" s="43" t="s">
        <v>422</v>
      </c>
      <c r="Y241" s="29" t="s">
        <v>72</v>
      </c>
      <c r="AA241" s="37">
        <v>1559.66</v>
      </c>
      <c r="AB241" s="45">
        <v>2183.53</v>
      </c>
      <c r="AD241" s="43" t="s">
        <v>423</v>
      </c>
      <c r="AF241" s="46" t="s">
        <v>85</v>
      </c>
      <c r="AH241" s="40" t="str">
        <f t="shared" si="1"/>
        <v>Bosch</v>
      </c>
      <c r="AI241" s="39" t="s">
        <v>82</v>
      </c>
    </row>
    <row r="242" ht="15.75" customHeight="1">
      <c r="A242" s="43" t="s">
        <v>77</v>
      </c>
      <c r="B242" s="43" t="s">
        <v>78</v>
      </c>
      <c r="C242" s="43" t="s">
        <v>387</v>
      </c>
      <c r="G242" s="44"/>
      <c r="H242" s="44"/>
      <c r="I242" s="44"/>
      <c r="J242" s="44"/>
      <c r="V242" s="43" t="s">
        <v>424</v>
      </c>
      <c r="Y242" s="29" t="s">
        <v>72</v>
      </c>
      <c r="AA242" s="37">
        <v>1931.88</v>
      </c>
      <c r="AB242" s="45">
        <v>2704.63</v>
      </c>
      <c r="AD242" s="43" t="s">
        <v>425</v>
      </c>
      <c r="AF242" s="46" t="s">
        <v>85</v>
      </c>
      <c r="AH242" s="40" t="str">
        <f t="shared" si="1"/>
        <v>Bosch</v>
      </c>
      <c r="AI242" s="39" t="s">
        <v>82</v>
      </c>
    </row>
    <row r="243" ht="15.75" customHeight="1">
      <c r="A243" s="43" t="s">
        <v>77</v>
      </c>
      <c r="B243" s="43" t="s">
        <v>280</v>
      </c>
      <c r="C243" s="43" t="s">
        <v>387</v>
      </c>
      <c r="G243" s="44"/>
      <c r="H243" s="44"/>
      <c r="I243" s="44"/>
      <c r="J243" s="44"/>
      <c r="V243" s="43" t="s">
        <v>416</v>
      </c>
      <c r="Y243" s="29" t="s">
        <v>72</v>
      </c>
      <c r="AA243" s="37">
        <v>2457.36</v>
      </c>
      <c r="AB243" s="45">
        <v>3440.3</v>
      </c>
      <c r="AD243" s="43" t="s">
        <v>417</v>
      </c>
      <c r="AF243" s="46" t="s">
        <v>85</v>
      </c>
      <c r="AH243" s="40" t="str">
        <f t="shared" si="1"/>
        <v>Bosch</v>
      </c>
      <c r="AI243" s="39" t="s">
        <v>82</v>
      </c>
    </row>
    <row r="244" ht="15.75" customHeight="1">
      <c r="A244" s="43" t="s">
        <v>77</v>
      </c>
      <c r="B244" s="43" t="s">
        <v>280</v>
      </c>
      <c r="C244" s="43" t="s">
        <v>387</v>
      </c>
      <c r="G244" s="44"/>
      <c r="H244" s="44"/>
      <c r="I244" s="44"/>
      <c r="J244" s="44"/>
      <c r="V244" s="43" t="s">
        <v>388</v>
      </c>
      <c r="Y244" s="29" t="s">
        <v>72</v>
      </c>
      <c r="AA244" s="37">
        <v>2781.84</v>
      </c>
      <c r="AB244" s="45">
        <v>3894.58</v>
      </c>
      <c r="AD244" s="43" t="s">
        <v>389</v>
      </c>
      <c r="AF244" s="46" t="s">
        <v>85</v>
      </c>
      <c r="AH244" s="40" t="str">
        <f t="shared" si="1"/>
        <v>Bosch</v>
      </c>
      <c r="AI244" s="39" t="s">
        <v>82</v>
      </c>
    </row>
    <row r="245" ht="15.75" customHeight="1">
      <c r="A245" s="43" t="s">
        <v>77</v>
      </c>
      <c r="B245" s="43" t="s">
        <v>280</v>
      </c>
      <c r="C245" s="43" t="s">
        <v>387</v>
      </c>
      <c r="G245" s="44"/>
      <c r="H245" s="44"/>
      <c r="I245" s="44"/>
      <c r="J245" s="44"/>
      <c r="V245" s="43" t="s">
        <v>388</v>
      </c>
      <c r="Y245" s="29" t="s">
        <v>72</v>
      </c>
      <c r="AA245" s="37">
        <v>2781.84</v>
      </c>
      <c r="AB245" s="45">
        <v>3894.58</v>
      </c>
      <c r="AD245" s="43" t="s">
        <v>389</v>
      </c>
      <c r="AF245" s="46" t="s">
        <v>85</v>
      </c>
      <c r="AH245" s="40" t="str">
        <f t="shared" si="1"/>
        <v>Bosch</v>
      </c>
      <c r="AI245" s="39" t="s">
        <v>82</v>
      </c>
    </row>
    <row r="246" ht="15.75" customHeight="1">
      <c r="A246" s="43" t="s">
        <v>77</v>
      </c>
      <c r="B246" s="43" t="s">
        <v>280</v>
      </c>
      <c r="C246" s="43" t="s">
        <v>387</v>
      </c>
      <c r="G246" s="44"/>
      <c r="H246" s="44"/>
      <c r="I246" s="44"/>
      <c r="J246" s="44"/>
      <c r="V246" s="43" t="s">
        <v>390</v>
      </c>
      <c r="Y246" s="29" t="s">
        <v>72</v>
      </c>
      <c r="AA246" s="37">
        <v>3740.51</v>
      </c>
      <c r="AB246" s="45">
        <v>5236.71</v>
      </c>
      <c r="AD246" s="43" t="s">
        <v>391</v>
      </c>
      <c r="AF246" s="46" t="s">
        <v>85</v>
      </c>
      <c r="AH246" s="40" t="str">
        <f t="shared" si="1"/>
        <v>Bosch</v>
      </c>
      <c r="AI246" s="39" t="s">
        <v>82</v>
      </c>
    </row>
    <row r="247" ht="15.75" customHeight="1">
      <c r="A247" s="43" t="s">
        <v>77</v>
      </c>
      <c r="B247" s="43" t="s">
        <v>280</v>
      </c>
      <c r="C247" s="43" t="s">
        <v>387</v>
      </c>
      <c r="G247" s="44"/>
      <c r="H247" s="44"/>
      <c r="I247" s="44"/>
      <c r="J247" s="44"/>
      <c r="V247" s="43" t="s">
        <v>390</v>
      </c>
      <c r="Y247" s="29" t="s">
        <v>72</v>
      </c>
      <c r="AA247" s="37">
        <v>3740.51</v>
      </c>
      <c r="AB247" s="45">
        <v>5236.71</v>
      </c>
      <c r="AD247" s="43" t="s">
        <v>391</v>
      </c>
      <c r="AF247" s="46" t="s">
        <v>85</v>
      </c>
      <c r="AH247" s="40" t="str">
        <f t="shared" si="1"/>
        <v>Bosch</v>
      </c>
      <c r="AI247" s="39" t="s">
        <v>82</v>
      </c>
    </row>
    <row r="248" ht="15.75" customHeight="1">
      <c r="A248" s="43" t="s">
        <v>77</v>
      </c>
      <c r="B248" s="43" t="s">
        <v>280</v>
      </c>
      <c r="C248" s="43" t="s">
        <v>387</v>
      </c>
      <c r="G248" s="44"/>
      <c r="H248" s="44"/>
      <c r="I248" s="44"/>
      <c r="J248" s="44"/>
      <c r="V248" s="43" t="s">
        <v>390</v>
      </c>
      <c r="Y248" s="29" t="s">
        <v>72</v>
      </c>
      <c r="AA248" s="37">
        <v>3740.51</v>
      </c>
      <c r="AB248" s="45">
        <v>5236.71</v>
      </c>
      <c r="AD248" s="43" t="s">
        <v>391</v>
      </c>
      <c r="AF248" s="46" t="s">
        <v>85</v>
      </c>
      <c r="AH248" s="40" t="str">
        <f t="shared" si="1"/>
        <v>Bosch</v>
      </c>
      <c r="AI248" s="39" t="s">
        <v>82</v>
      </c>
    </row>
    <row r="249" ht="15.75" customHeight="1">
      <c r="A249" s="43" t="s">
        <v>77</v>
      </c>
      <c r="B249" s="43" t="s">
        <v>78</v>
      </c>
      <c r="C249" s="43" t="s">
        <v>387</v>
      </c>
      <c r="G249" s="44"/>
      <c r="H249" s="44"/>
      <c r="I249" s="44"/>
      <c r="J249" s="44"/>
      <c r="V249" s="43" t="s">
        <v>418</v>
      </c>
      <c r="Y249" s="29" t="s">
        <v>72</v>
      </c>
      <c r="AA249" s="37">
        <v>2283.59</v>
      </c>
      <c r="AB249" s="45">
        <v>3197.03</v>
      </c>
      <c r="AD249" s="43" t="s">
        <v>426</v>
      </c>
      <c r="AF249" s="46" t="s">
        <v>85</v>
      </c>
      <c r="AH249" s="40" t="str">
        <f t="shared" si="1"/>
        <v>Bosch</v>
      </c>
      <c r="AI249" s="39" t="s">
        <v>82</v>
      </c>
    </row>
    <row r="250" ht="15.75" customHeight="1">
      <c r="A250" s="43" t="s">
        <v>77</v>
      </c>
      <c r="B250" s="43" t="s">
        <v>78</v>
      </c>
      <c r="C250" s="43" t="s">
        <v>387</v>
      </c>
      <c r="G250" s="44"/>
      <c r="H250" s="44"/>
      <c r="I250" s="44"/>
      <c r="J250" s="44"/>
      <c r="V250" s="43" t="s">
        <v>418</v>
      </c>
      <c r="Y250" s="29" t="s">
        <v>72</v>
      </c>
      <c r="AA250" s="37">
        <v>2283.59</v>
      </c>
      <c r="AB250" s="45">
        <v>3197.03</v>
      </c>
      <c r="AD250" s="43" t="s">
        <v>426</v>
      </c>
      <c r="AF250" s="46" t="s">
        <v>85</v>
      </c>
      <c r="AH250" s="40" t="str">
        <f t="shared" si="1"/>
        <v>Bosch</v>
      </c>
      <c r="AI250" s="39" t="s">
        <v>82</v>
      </c>
    </row>
    <row r="251" ht="15.75" customHeight="1">
      <c r="A251" s="43" t="s">
        <v>77</v>
      </c>
      <c r="B251" s="43" t="s">
        <v>78</v>
      </c>
      <c r="C251" s="43" t="s">
        <v>387</v>
      </c>
      <c r="G251" s="44"/>
      <c r="H251" s="44"/>
      <c r="I251" s="44"/>
      <c r="J251" s="44"/>
      <c r="V251" s="43" t="s">
        <v>420</v>
      </c>
      <c r="Y251" s="29" t="s">
        <v>72</v>
      </c>
      <c r="AA251" s="37">
        <v>2696.69</v>
      </c>
      <c r="AB251" s="45">
        <v>3775.37</v>
      </c>
      <c r="AD251" s="43" t="s">
        <v>427</v>
      </c>
      <c r="AF251" s="46" t="s">
        <v>85</v>
      </c>
      <c r="AH251" s="40" t="str">
        <f t="shared" si="1"/>
        <v>Bosch</v>
      </c>
      <c r="AI251" s="39" t="s">
        <v>82</v>
      </c>
    </row>
    <row r="252" ht="15.75" customHeight="1">
      <c r="A252" s="43" t="s">
        <v>77</v>
      </c>
      <c r="B252" s="43" t="s">
        <v>78</v>
      </c>
      <c r="C252" s="43" t="s">
        <v>387</v>
      </c>
      <c r="G252" s="44"/>
      <c r="H252" s="44"/>
      <c r="I252" s="44"/>
      <c r="J252" s="44"/>
      <c r="V252" s="43" t="s">
        <v>420</v>
      </c>
      <c r="Y252" s="29" t="s">
        <v>72</v>
      </c>
      <c r="AA252" s="37">
        <v>2696.69</v>
      </c>
      <c r="AB252" s="45">
        <v>3775.37</v>
      </c>
      <c r="AD252" s="43" t="s">
        <v>427</v>
      </c>
      <c r="AF252" s="46" t="s">
        <v>85</v>
      </c>
      <c r="AH252" s="40" t="str">
        <f t="shared" si="1"/>
        <v>Bosch</v>
      </c>
      <c r="AI252" s="39" t="s">
        <v>82</v>
      </c>
    </row>
    <row r="253" ht="15.75" customHeight="1">
      <c r="A253" s="43" t="s">
        <v>77</v>
      </c>
      <c r="B253" s="43" t="s">
        <v>78</v>
      </c>
      <c r="C253" s="43" t="s">
        <v>387</v>
      </c>
      <c r="G253" s="44"/>
      <c r="H253" s="44"/>
      <c r="I253" s="44"/>
      <c r="J253" s="44"/>
      <c r="V253" s="43" t="s">
        <v>422</v>
      </c>
      <c r="Y253" s="29" t="s">
        <v>72</v>
      </c>
      <c r="AA253" s="37">
        <v>2920.6</v>
      </c>
      <c r="AB253" s="45">
        <v>4088.84</v>
      </c>
      <c r="AD253" s="43" t="s">
        <v>428</v>
      </c>
      <c r="AF253" s="46" t="s">
        <v>85</v>
      </c>
      <c r="AH253" s="40" t="str">
        <f t="shared" si="1"/>
        <v>Bosch</v>
      </c>
      <c r="AI253" s="39" t="s">
        <v>82</v>
      </c>
    </row>
    <row r="254" ht="15.75" customHeight="1">
      <c r="A254" s="43" t="s">
        <v>77</v>
      </c>
      <c r="B254" s="43" t="s">
        <v>78</v>
      </c>
      <c r="C254" s="43" t="s">
        <v>387</v>
      </c>
      <c r="G254" s="44"/>
      <c r="H254" s="44"/>
      <c r="I254" s="44"/>
      <c r="J254" s="44"/>
      <c r="V254" s="43" t="s">
        <v>424</v>
      </c>
      <c r="Y254" s="29" t="s">
        <v>72</v>
      </c>
      <c r="AA254" s="37">
        <v>4063.06</v>
      </c>
      <c r="AB254" s="45">
        <v>5688.29</v>
      </c>
      <c r="AD254" s="43" t="s">
        <v>429</v>
      </c>
      <c r="AF254" s="46" t="s">
        <v>85</v>
      </c>
      <c r="AH254" s="40" t="str">
        <f t="shared" si="1"/>
        <v>Bosch</v>
      </c>
      <c r="AI254" s="39" t="s">
        <v>82</v>
      </c>
    </row>
    <row r="255" ht="15.75" customHeight="1">
      <c r="A255" s="43" t="s">
        <v>77</v>
      </c>
      <c r="B255" s="43" t="s">
        <v>280</v>
      </c>
      <c r="C255" s="43" t="s">
        <v>387</v>
      </c>
      <c r="G255" s="44"/>
      <c r="H255" s="44"/>
      <c r="I255" s="44"/>
      <c r="J255" s="44"/>
      <c r="V255" s="43" t="s">
        <v>400</v>
      </c>
      <c r="Y255" s="29" t="s">
        <v>72</v>
      </c>
      <c r="AA255" s="37">
        <v>4308.58</v>
      </c>
      <c r="AB255" s="45">
        <v>6032.01</v>
      </c>
      <c r="AD255" s="43" t="s">
        <v>401</v>
      </c>
      <c r="AF255" s="46" t="s">
        <v>85</v>
      </c>
      <c r="AH255" s="40" t="str">
        <f t="shared" si="1"/>
        <v>Bosch</v>
      </c>
      <c r="AI255" s="39" t="s">
        <v>82</v>
      </c>
    </row>
    <row r="256" ht="15.75" customHeight="1">
      <c r="A256" s="43" t="s">
        <v>77</v>
      </c>
      <c r="B256" s="43" t="s">
        <v>280</v>
      </c>
      <c r="C256" s="43" t="s">
        <v>387</v>
      </c>
      <c r="G256" s="44"/>
      <c r="H256" s="44"/>
      <c r="I256" s="44"/>
      <c r="J256" s="44"/>
      <c r="V256" s="43" t="s">
        <v>400</v>
      </c>
      <c r="Y256" s="29" t="s">
        <v>72</v>
      </c>
      <c r="AA256" s="37">
        <v>4308.58</v>
      </c>
      <c r="AB256" s="45">
        <v>6032.01</v>
      </c>
      <c r="AD256" s="43" t="s">
        <v>401</v>
      </c>
      <c r="AF256" s="46" t="s">
        <v>85</v>
      </c>
      <c r="AH256" s="40" t="str">
        <f t="shared" si="1"/>
        <v>Bosch</v>
      </c>
      <c r="AI256" s="39" t="s">
        <v>82</v>
      </c>
    </row>
    <row r="257" ht="15.75" customHeight="1">
      <c r="A257" s="43" t="s">
        <v>77</v>
      </c>
      <c r="B257" s="43" t="s">
        <v>280</v>
      </c>
      <c r="C257" s="43" t="s">
        <v>387</v>
      </c>
      <c r="G257" s="44"/>
      <c r="H257" s="44"/>
      <c r="I257" s="44"/>
      <c r="J257" s="44"/>
      <c r="V257" s="43" t="s">
        <v>402</v>
      </c>
      <c r="Y257" s="29" t="s">
        <v>72</v>
      </c>
      <c r="AA257" s="37">
        <v>5557.82</v>
      </c>
      <c r="AB257" s="45">
        <v>7780.95</v>
      </c>
      <c r="AD257" s="43" t="s">
        <v>403</v>
      </c>
      <c r="AF257" s="46" t="s">
        <v>85</v>
      </c>
      <c r="AH257" s="40" t="str">
        <f t="shared" si="1"/>
        <v>Bosch</v>
      </c>
      <c r="AI257" s="39" t="s">
        <v>82</v>
      </c>
    </row>
    <row r="258" ht="15.75" customHeight="1">
      <c r="A258" s="43" t="s">
        <v>77</v>
      </c>
      <c r="B258" s="43" t="s">
        <v>280</v>
      </c>
      <c r="C258" s="43" t="s">
        <v>387</v>
      </c>
      <c r="G258" s="44"/>
      <c r="H258" s="44"/>
      <c r="I258" s="44"/>
      <c r="J258" s="44"/>
      <c r="V258" s="43" t="s">
        <v>402</v>
      </c>
      <c r="Y258" s="29" t="s">
        <v>72</v>
      </c>
      <c r="AA258" s="37">
        <v>5557.82</v>
      </c>
      <c r="AB258" s="45">
        <v>7780.95</v>
      </c>
      <c r="AD258" s="43" t="s">
        <v>403</v>
      </c>
      <c r="AF258" s="46" t="s">
        <v>85</v>
      </c>
      <c r="AH258" s="40" t="str">
        <f t="shared" si="1"/>
        <v>Bosch</v>
      </c>
      <c r="AI258" s="39" t="s">
        <v>82</v>
      </c>
    </row>
    <row r="259" ht="15.75" customHeight="1">
      <c r="A259" s="43" t="s">
        <v>77</v>
      </c>
      <c r="B259" s="43" t="s">
        <v>78</v>
      </c>
      <c r="C259" s="43" t="s">
        <v>387</v>
      </c>
      <c r="G259" s="44"/>
      <c r="H259" s="44"/>
      <c r="I259" s="44"/>
      <c r="J259" s="44"/>
      <c r="V259" s="43" t="s">
        <v>418</v>
      </c>
      <c r="Y259" s="29" t="s">
        <v>72</v>
      </c>
      <c r="AA259" s="37">
        <v>2283.59</v>
      </c>
      <c r="AB259" s="45">
        <v>3197.03</v>
      </c>
      <c r="AD259" s="43" t="s">
        <v>426</v>
      </c>
      <c r="AF259" s="46" t="s">
        <v>85</v>
      </c>
      <c r="AH259" s="40" t="str">
        <f t="shared" si="1"/>
        <v>Bosch</v>
      </c>
      <c r="AI259" s="39" t="s">
        <v>82</v>
      </c>
    </row>
    <row r="260" ht="15.75" customHeight="1">
      <c r="A260" s="43" t="s">
        <v>77</v>
      </c>
      <c r="B260" s="43" t="s">
        <v>78</v>
      </c>
      <c r="C260" s="43" t="s">
        <v>387</v>
      </c>
      <c r="G260" s="44"/>
      <c r="H260" s="44"/>
      <c r="I260" s="44"/>
      <c r="J260" s="44"/>
      <c r="V260" s="43" t="s">
        <v>420</v>
      </c>
      <c r="Y260" s="29" t="s">
        <v>72</v>
      </c>
      <c r="AA260" s="37">
        <v>2696.69</v>
      </c>
      <c r="AB260" s="45">
        <v>3775.37</v>
      </c>
      <c r="AD260" s="43" t="s">
        <v>427</v>
      </c>
      <c r="AF260" s="46" t="s">
        <v>85</v>
      </c>
      <c r="AH260" s="40" t="str">
        <f t="shared" si="1"/>
        <v>Bosch</v>
      </c>
      <c r="AI260" s="39" t="s">
        <v>82</v>
      </c>
    </row>
    <row r="261" ht="15.75" customHeight="1">
      <c r="A261" s="43" t="s">
        <v>77</v>
      </c>
      <c r="B261" s="43" t="s">
        <v>78</v>
      </c>
      <c r="C261" s="43" t="s">
        <v>387</v>
      </c>
      <c r="G261" s="44"/>
      <c r="H261" s="44"/>
      <c r="I261" s="44"/>
      <c r="J261" s="44"/>
      <c r="V261" s="43" t="s">
        <v>422</v>
      </c>
      <c r="Y261" s="29" t="s">
        <v>72</v>
      </c>
      <c r="AA261" s="37">
        <v>2920.6</v>
      </c>
      <c r="AB261" s="45">
        <v>4088.84</v>
      </c>
      <c r="AD261" s="43" t="s">
        <v>428</v>
      </c>
      <c r="AF261" s="46" t="s">
        <v>85</v>
      </c>
      <c r="AH261" s="40" t="str">
        <f t="shared" si="1"/>
        <v>Bosch</v>
      </c>
      <c r="AI261" s="39" t="s">
        <v>82</v>
      </c>
    </row>
    <row r="262" ht="15.75" customHeight="1">
      <c r="A262" s="43" t="s">
        <v>77</v>
      </c>
      <c r="B262" s="43" t="s">
        <v>78</v>
      </c>
      <c r="C262" s="43" t="s">
        <v>387</v>
      </c>
      <c r="G262" s="44"/>
      <c r="H262" s="44"/>
      <c r="I262" s="44"/>
      <c r="J262" s="44"/>
      <c r="V262" s="43" t="s">
        <v>424</v>
      </c>
      <c r="Y262" s="29" t="s">
        <v>72</v>
      </c>
      <c r="AA262" s="37">
        <v>4063.06</v>
      </c>
      <c r="AB262" s="45">
        <v>5688.29</v>
      </c>
      <c r="AD262" s="43" t="s">
        <v>429</v>
      </c>
      <c r="AF262" s="46" t="s">
        <v>85</v>
      </c>
      <c r="AH262" s="40" t="str">
        <f t="shared" si="1"/>
        <v>Bosch</v>
      </c>
      <c r="AI262" s="39" t="s">
        <v>82</v>
      </c>
    </row>
    <row r="263" ht="15.75" customHeight="1">
      <c r="A263" s="43" t="s">
        <v>77</v>
      </c>
      <c r="B263" s="43" t="s">
        <v>280</v>
      </c>
      <c r="C263" s="43" t="s">
        <v>387</v>
      </c>
      <c r="G263" s="44"/>
      <c r="H263" s="44"/>
      <c r="I263" s="44"/>
      <c r="J263" s="44"/>
      <c r="V263" s="43" t="s">
        <v>414</v>
      </c>
      <c r="Y263" s="29" t="s">
        <v>72</v>
      </c>
      <c r="AA263" s="37">
        <v>6329.53</v>
      </c>
      <c r="AB263" s="45">
        <v>8861.34</v>
      </c>
      <c r="AD263" s="43" t="s">
        <v>415</v>
      </c>
      <c r="AF263" s="46" t="s">
        <v>85</v>
      </c>
      <c r="AH263" s="40" t="str">
        <f t="shared" si="1"/>
        <v>Bosch</v>
      </c>
      <c r="AI263" s="39" t="s">
        <v>82</v>
      </c>
    </row>
    <row r="264" ht="15.75" customHeight="1">
      <c r="A264" s="43" t="s">
        <v>77</v>
      </c>
      <c r="B264" s="43" t="s">
        <v>280</v>
      </c>
      <c r="C264" s="43" t="s">
        <v>387</v>
      </c>
      <c r="G264" s="44"/>
      <c r="H264" s="44"/>
      <c r="I264" s="44"/>
      <c r="J264" s="44"/>
      <c r="V264" s="43" t="s">
        <v>414</v>
      </c>
      <c r="Y264" s="29" t="s">
        <v>72</v>
      </c>
      <c r="AA264" s="37">
        <v>6329.53</v>
      </c>
      <c r="AB264" s="45">
        <v>8861.34</v>
      </c>
      <c r="AD264" s="43" t="s">
        <v>415</v>
      </c>
      <c r="AF264" s="46" t="s">
        <v>85</v>
      </c>
      <c r="AH264" s="40" t="str">
        <f t="shared" si="1"/>
        <v>Bosch</v>
      </c>
      <c r="AI264" s="39" t="s">
        <v>82</v>
      </c>
    </row>
    <row r="265" ht="15.75" customHeight="1">
      <c r="A265" s="43" t="s">
        <v>77</v>
      </c>
      <c r="B265" s="43" t="s">
        <v>78</v>
      </c>
      <c r="C265" s="43" t="s">
        <v>387</v>
      </c>
      <c r="G265" s="44"/>
      <c r="H265" s="44"/>
      <c r="I265" s="44"/>
      <c r="J265" s="44"/>
      <c r="V265" s="43" t="s">
        <v>422</v>
      </c>
      <c r="Y265" s="29" t="s">
        <v>72</v>
      </c>
      <c r="AA265" s="37">
        <v>2978.71</v>
      </c>
      <c r="AB265" s="45">
        <v>4170.19</v>
      </c>
      <c r="AD265" s="43" t="s">
        <v>430</v>
      </c>
      <c r="AF265" s="46" t="s">
        <v>85</v>
      </c>
      <c r="AH265" s="40" t="str">
        <f t="shared" si="1"/>
        <v>Bosch</v>
      </c>
      <c r="AI265" s="39" t="s">
        <v>82</v>
      </c>
    </row>
    <row r="266" ht="15.75" customHeight="1">
      <c r="A266" s="43" t="s">
        <v>77</v>
      </c>
      <c r="B266" s="43" t="s">
        <v>78</v>
      </c>
      <c r="C266" s="43" t="s">
        <v>387</v>
      </c>
      <c r="G266" s="44"/>
      <c r="H266" s="44"/>
      <c r="I266" s="44"/>
      <c r="J266" s="44"/>
      <c r="V266" s="43" t="s">
        <v>424</v>
      </c>
      <c r="Y266" s="29" t="s">
        <v>72</v>
      </c>
      <c r="AA266" s="37">
        <v>4144.15</v>
      </c>
      <c r="AB266" s="45">
        <v>5801.82</v>
      </c>
      <c r="AD266" s="43" t="s">
        <v>431</v>
      </c>
      <c r="AF266" s="46" t="s">
        <v>85</v>
      </c>
      <c r="AH266" s="40" t="str">
        <f t="shared" si="1"/>
        <v>Bosch</v>
      </c>
      <c r="AI266" s="39" t="s">
        <v>82</v>
      </c>
    </row>
    <row r="267" ht="15.75" customHeight="1">
      <c r="A267" s="43" t="s">
        <v>77</v>
      </c>
      <c r="B267" s="43" t="s">
        <v>432</v>
      </c>
      <c r="C267" s="43" t="s">
        <v>387</v>
      </c>
      <c r="G267" s="44"/>
      <c r="H267" s="44"/>
      <c r="I267" s="44"/>
      <c r="J267" s="44"/>
      <c r="V267" s="43" t="s">
        <v>433</v>
      </c>
      <c r="Y267" s="29" t="s">
        <v>72</v>
      </c>
      <c r="AA267" s="37">
        <v>139.86</v>
      </c>
      <c r="AB267" s="45">
        <v>195.8</v>
      </c>
      <c r="AD267" s="43" t="s">
        <v>434</v>
      </c>
      <c r="AF267" s="46"/>
      <c r="AH267" s="40" t="str">
        <f t="shared" si="1"/>
        <v>Bosch</v>
      </c>
      <c r="AI267" s="39" t="s">
        <v>82</v>
      </c>
    </row>
    <row r="268" ht="15.75" customHeight="1">
      <c r="A268" s="43" t="s">
        <v>77</v>
      </c>
      <c r="B268" s="43" t="s">
        <v>432</v>
      </c>
      <c r="C268" s="43" t="s">
        <v>387</v>
      </c>
      <c r="G268" s="44"/>
      <c r="H268" s="44"/>
      <c r="I268" s="44"/>
      <c r="J268" s="44"/>
      <c r="V268" s="43" t="s">
        <v>435</v>
      </c>
      <c r="Y268" s="29" t="s">
        <v>72</v>
      </c>
      <c r="AA268" s="37">
        <v>200.99</v>
      </c>
      <c r="AB268" s="45">
        <v>281.38</v>
      </c>
      <c r="AD268" s="43" t="s">
        <v>436</v>
      </c>
      <c r="AF268" s="46"/>
      <c r="AH268" s="40" t="str">
        <f t="shared" si="1"/>
        <v>Bosch</v>
      </c>
      <c r="AI268" s="39" t="s">
        <v>82</v>
      </c>
    </row>
    <row r="269" ht="15.75" customHeight="1">
      <c r="A269" s="43" t="s">
        <v>77</v>
      </c>
      <c r="B269" s="43" t="s">
        <v>432</v>
      </c>
      <c r="C269" s="43" t="s">
        <v>387</v>
      </c>
      <c r="G269" s="44"/>
      <c r="H269" s="44"/>
      <c r="I269" s="44"/>
      <c r="J269" s="44"/>
      <c r="V269" s="43" t="s">
        <v>437</v>
      </c>
      <c r="Y269" s="29" t="s">
        <v>72</v>
      </c>
      <c r="AA269" s="37">
        <v>204.89</v>
      </c>
      <c r="AB269" s="45">
        <v>286.84</v>
      </c>
      <c r="AD269" s="43" t="s">
        <v>438</v>
      </c>
      <c r="AF269" s="46"/>
      <c r="AH269" s="40" t="str">
        <f t="shared" si="1"/>
        <v>Bosch</v>
      </c>
      <c r="AI269" s="39" t="s">
        <v>82</v>
      </c>
    </row>
    <row r="270" ht="15.75" customHeight="1">
      <c r="A270" s="43" t="s">
        <v>77</v>
      </c>
      <c r="B270" s="43" t="s">
        <v>432</v>
      </c>
      <c r="C270" s="43" t="s">
        <v>387</v>
      </c>
      <c r="G270" s="44"/>
      <c r="H270" s="44"/>
      <c r="I270" s="44"/>
      <c r="J270" s="44"/>
      <c r="V270" s="43" t="s">
        <v>439</v>
      </c>
      <c r="Y270" s="29" t="s">
        <v>72</v>
      </c>
      <c r="AA270" s="37">
        <v>380.53</v>
      </c>
      <c r="AB270" s="45">
        <v>532.74</v>
      </c>
      <c r="AD270" s="43" t="s">
        <v>440</v>
      </c>
      <c r="AF270" s="46"/>
      <c r="AH270" s="40" t="str">
        <f t="shared" si="1"/>
        <v>Bosch</v>
      </c>
      <c r="AI270" s="39" t="s">
        <v>82</v>
      </c>
    </row>
    <row r="271" ht="15.75" customHeight="1">
      <c r="A271" s="43" t="s">
        <v>77</v>
      </c>
      <c r="B271" s="43" t="s">
        <v>432</v>
      </c>
      <c r="C271" s="43" t="s">
        <v>387</v>
      </c>
      <c r="G271" s="44"/>
      <c r="H271" s="44"/>
      <c r="I271" s="44"/>
      <c r="J271" s="44"/>
      <c r="V271" s="43" t="s">
        <v>441</v>
      </c>
      <c r="Y271" s="29" t="s">
        <v>72</v>
      </c>
      <c r="AA271" s="37">
        <v>450.63</v>
      </c>
      <c r="AB271" s="45">
        <v>630.88</v>
      </c>
      <c r="AD271" s="43" t="s">
        <v>442</v>
      </c>
      <c r="AH271" s="40" t="str">
        <f t="shared" si="1"/>
        <v>Bosch</v>
      </c>
      <c r="AI271" s="39" t="s">
        <v>82</v>
      </c>
    </row>
    <row r="272" ht="15.75" customHeight="1">
      <c r="A272" s="43" t="s">
        <v>77</v>
      </c>
      <c r="B272" s="43" t="s">
        <v>211</v>
      </c>
      <c r="C272" s="43" t="s">
        <v>387</v>
      </c>
      <c r="G272" s="44"/>
      <c r="H272" s="44"/>
      <c r="I272" s="44"/>
      <c r="J272" s="44"/>
      <c r="V272" s="43" t="s">
        <v>443</v>
      </c>
      <c r="Y272" s="29" t="s">
        <v>72</v>
      </c>
      <c r="AA272" s="37">
        <v>2275.16</v>
      </c>
      <c r="AB272" s="45">
        <v>3185.23</v>
      </c>
      <c r="AD272" s="43" t="s">
        <v>444</v>
      </c>
      <c r="AF272" s="46" t="s">
        <v>85</v>
      </c>
      <c r="AH272" s="40" t="str">
        <f t="shared" si="1"/>
        <v>Bosch</v>
      </c>
      <c r="AI272" s="39" t="s">
        <v>82</v>
      </c>
    </row>
    <row r="273" ht="15.75" customHeight="1">
      <c r="A273" s="43" t="s">
        <v>77</v>
      </c>
      <c r="B273" s="43" t="s">
        <v>211</v>
      </c>
      <c r="C273" s="43" t="s">
        <v>387</v>
      </c>
      <c r="G273" s="44"/>
      <c r="H273" s="44"/>
      <c r="I273" s="44"/>
      <c r="J273" s="44"/>
      <c r="V273" s="43" t="s">
        <v>445</v>
      </c>
      <c r="Y273" s="29" t="s">
        <v>72</v>
      </c>
      <c r="AA273" s="37">
        <v>2343.79</v>
      </c>
      <c r="AB273" s="45">
        <v>3281.3</v>
      </c>
      <c r="AD273" s="43" t="s">
        <v>446</v>
      </c>
      <c r="AF273" s="46" t="s">
        <v>85</v>
      </c>
      <c r="AH273" s="40" t="str">
        <f t="shared" si="1"/>
        <v>Bosch</v>
      </c>
      <c r="AI273" s="39" t="s">
        <v>82</v>
      </c>
    </row>
    <row r="274" ht="15.75" customHeight="1">
      <c r="A274" s="43" t="s">
        <v>77</v>
      </c>
      <c r="B274" s="43" t="s">
        <v>211</v>
      </c>
      <c r="C274" s="43" t="s">
        <v>387</v>
      </c>
      <c r="G274" s="44"/>
      <c r="H274" s="44"/>
      <c r="I274" s="44"/>
      <c r="J274" s="44"/>
      <c r="V274" s="43" t="s">
        <v>445</v>
      </c>
      <c r="Y274" s="29" t="s">
        <v>72</v>
      </c>
      <c r="AA274" s="37">
        <v>2551.42</v>
      </c>
      <c r="AB274" s="45">
        <v>3571.99</v>
      </c>
      <c r="AD274" s="43" t="s">
        <v>447</v>
      </c>
      <c r="AF274" s="46" t="s">
        <v>85</v>
      </c>
      <c r="AH274" s="40" t="str">
        <f t="shared" si="1"/>
        <v>Bosch</v>
      </c>
      <c r="AI274" s="39" t="s">
        <v>82</v>
      </c>
    </row>
    <row r="275" ht="15.75" customHeight="1">
      <c r="A275" s="43" t="s">
        <v>77</v>
      </c>
      <c r="B275" s="43" t="s">
        <v>211</v>
      </c>
      <c r="C275" s="43" t="s">
        <v>387</v>
      </c>
      <c r="G275" s="44"/>
      <c r="H275" s="44"/>
      <c r="I275" s="44"/>
      <c r="J275" s="44"/>
      <c r="V275" s="43" t="s">
        <v>448</v>
      </c>
      <c r="Y275" s="29" t="s">
        <v>72</v>
      </c>
      <c r="AA275" s="37">
        <v>2670.19</v>
      </c>
      <c r="AB275" s="45">
        <v>3738.27</v>
      </c>
      <c r="AD275" s="43" t="s">
        <v>449</v>
      </c>
      <c r="AF275" s="46" t="s">
        <v>85</v>
      </c>
      <c r="AH275" s="40" t="str">
        <f t="shared" si="1"/>
        <v>Bosch</v>
      </c>
      <c r="AI275" s="39" t="s">
        <v>82</v>
      </c>
    </row>
    <row r="276" ht="15.75" customHeight="1">
      <c r="A276" s="43" t="s">
        <v>77</v>
      </c>
      <c r="B276" s="43" t="s">
        <v>211</v>
      </c>
      <c r="C276" s="43" t="s">
        <v>387</v>
      </c>
      <c r="G276" s="44"/>
      <c r="H276" s="44"/>
      <c r="I276" s="44"/>
      <c r="J276" s="44"/>
      <c r="V276" s="43" t="s">
        <v>448</v>
      </c>
      <c r="Y276" s="29" t="s">
        <v>72</v>
      </c>
      <c r="AA276" s="37">
        <v>2769.61</v>
      </c>
      <c r="AB276" s="45">
        <v>3877.45</v>
      </c>
      <c r="AD276" s="43" t="s">
        <v>450</v>
      </c>
      <c r="AF276" s="46" t="s">
        <v>85</v>
      </c>
      <c r="AH276" s="40" t="str">
        <f t="shared" si="1"/>
        <v>Bosch</v>
      </c>
      <c r="AI276" s="39" t="s">
        <v>82</v>
      </c>
    </row>
    <row r="277" ht="15.75" customHeight="1">
      <c r="A277" s="43" t="s">
        <v>77</v>
      </c>
      <c r="B277" s="43" t="s">
        <v>211</v>
      </c>
      <c r="C277" s="43" t="s">
        <v>387</v>
      </c>
      <c r="G277" s="44"/>
      <c r="H277" s="44"/>
      <c r="I277" s="44"/>
      <c r="J277" s="44"/>
      <c r="V277" s="43" t="s">
        <v>451</v>
      </c>
      <c r="Y277" s="29" t="s">
        <v>72</v>
      </c>
      <c r="AA277" s="37">
        <v>2967.13</v>
      </c>
      <c r="AB277" s="45">
        <v>4153.98</v>
      </c>
      <c r="AD277" s="43" t="s">
        <v>452</v>
      </c>
      <c r="AF277" s="46" t="s">
        <v>85</v>
      </c>
      <c r="AH277" s="40" t="str">
        <f t="shared" si="1"/>
        <v>Bosch</v>
      </c>
      <c r="AI277" s="39" t="s">
        <v>82</v>
      </c>
    </row>
    <row r="278" ht="15.75" customHeight="1">
      <c r="A278" s="43" t="s">
        <v>77</v>
      </c>
      <c r="B278" s="43" t="s">
        <v>432</v>
      </c>
      <c r="C278" s="43" t="s">
        <v>387</v>
      </c>
      <c r="G278" s="44"/>
      <c r="H278" s="44"/>
      <c r="I278" s="44"/>
      <c r="J278" s="44"/>
      <c r="V278" s="43" t="s">
        <v>453</v>
      </c>
      <c r="Y278" s="29" t="s">
        <v>72</v>
      </c>
      <c r="AA278" s="37">
        <v>5990.61</v>
      </c>
      <c r="AB278" s="45">
        <v>8386.86</v>
      </c>
      <c r="AD278" s="43" t="s">
        <v>454</v>
      </c>
      <c r="AF278" s="46"/>
      <c r="AH278" s="40" t="str">
        <f t="shared" si="1"/>
        <v>Bosch</v>
      </c>
      <c r="AI278" s="39" t="s">
        <v>82</v>
      </c>
    </row>
    <row r="279" ht="15.75" customHeight="1">
      <c r="A279" s="43" t="s">
        <v>77</v>
      </c>
      <c r="B279" s="43" t="s">
        <v>432</v>
      </c>
      <c r="C279" s="43" t="s">
        <v>387</v>
      </c>
      <c r="G279" s="44"/>
      <c r="H279" s="44"/>
      <c r="I279" s="44"/>
      <c r="J279" s="44"/>
      <c r="V279" s="43" t="s">
        <v>453</v>
      </c>
      <c r="Y279" s="29" t="s">
        <v>72</v>
      </c>
      <c r="AA279" s="37">
        <v>7877.81</v>
      </c>
      <c r="AB279" s="45">
        <v>11028.94</v>
      </c>
      <c r="AD279" s="43" t="s">
        <v>455</v>
      </c>
      <c r="AF279" s="46"/>
      <c r="AH279" s="40" t="str">
        <f t="shared" si="1"/>
        <v>Bosch</v>
      </c>
      <c r="AI279" s="39" t="s">
        <v>82</v>
      </c>
    </row>
    <row r="280" ht="15.75" customHeight="1">
      <c r="A280" s="43" t="s">
        <v>77</v>
      </c>
      <c r="B280" s="43" t="s">
        <v>432</v>
      </c>
      <c r="C280" s="43" t="s">
        <v>387</v>
      </c>
      <c r="G280" s="44"/>
      <c r="H280" s="44"/>
      <c r="I280" s="44"/>
      <c r="J280" s="44"/>
      <c r="V280" s="43" t="s">
        <v>456</v>
      </c>
      <c r="Y280" s="29" t="s">
        <v>72</v>
      </c>
      <c r="AA280" s="37">
        <v>4497.86</v>
      </c>
      <c r="AB280" s="45">
        <v>6297.0</v>
      </c>
      <c r="AD280" s="43" t="s">
        <v>457</v>
      </c>
      <c r="AF280" s="46"/>
      <c r="AH280" s="40" t="str">
        <f t="shared" si="1"/>
        <v>Bosch</v>
      </c>
      <c r="AI280" s="39" t="s">
        <v>82</v>
      </c>
    </row>
    <row r="281" ht="15.75" customHeight="1">
      <c r="A281" s="43" t="s">
        <v>77</v>
      </c>
      <c r="B281" s="43" t="s">
        <v>432</v>
      </c>
      <c r="C281" s="43" t="s">
        <v>387</v>
      </c>
      <c r="G281" s="44"/>
      <c r="H281" s="44"/>
      <c r="I281" s="44"/>
      <c r="J281" s="44"/>
      <c r="V281" s="43" t="s">
        <v>456</v>
      </c>
      <c r="Y281" s="29" t="s">
        <v>72</v>
      </c>
      <c r="AA281" s="37">
        <v>5827.22</v>
      </c>
      <c r="AB281" s="45">
        <v>8158.11</v>
      </c>
      <c r="AD281" s="43" t="s">
        <v>458</v>
      </c>
      <c r="AH281" s="40" t="str">
        <f t="shared" si="1"/>
        <v>Bosch</v>
      </c>
      <c r="AI281" s="39" t="s">
        <v>82</v>
      </c>
    </row>
    <row r="282" ht="15.75" customHeight="1">
      <c r="A282" s="43" t="s">
        <v>77</v>
      </c>
      <c r="B282" s="43" t="s">
        <v>432</v>
      </c>
      <c r="C282" s="43" t="s">
        <v>387</v>
      </c>
      <c r="G282" s="44"/>
      <c r="H282" s="44"/>
      <c r="I282" s="44"/>
      <c r="J282" s="44"/>
      <c r="V282" s="43" t="s">
        <v>459</v>
      </c>
      <c r="Y282" s="29" t="s">
        <v>72</v>
      </c>
      <c r="AA282" s="37">
        <v>0.0</v>
      </c>
      <c r="AB282" s="45">
        <v>0.0</v>
      </c>
      <c r="AD282" s="43" t="s">
        <v>460</v>
      </c>
      <c r="AH282" s="40" t="str">
        <f t="shared" si="1"/>
        <v>Bosch</v>
      </c>
      <c r="AI282" s="39" t="s">
        <v>82</v>
      </c>
    </row>
    <row r="283" ht="15.75" customHeight="1">
      <c r="A283" s="43" t="s">
        <v>77</v>
      </c>
      <c r="B283" s="43" t="s">
        <v>432</v>
      </c>
      <c r="C283" s="43" t="s">
        <v>387</v>
      </c>
      <c r="G283" s="44"/>
      <c r="H283" s="44"/>
      <c r="I283" s="44"/>
      <c r="J283" s="44"/>
      <c r="V283" s="43" t="s">
        <v>459</v>
      </c>
      <c r="Y283" s="29" t="s">
        <v>72</v>
      </c>
      <c r="AA283" s="37">
        <v>0.0</v>
      </c>
      <c r="AB283" s="45">
        <v>0.0</v>
      </c>
      <c r="AD283" s="43" t="s">
        <v>461</v>
      </c>
      <c r="AH283" s="40" t="str">
        <f t="shared" si="1"/>
        <v>Bosch</v>
      </c>
      <c r="AI283" s="39" t="s">
        <v>82</v>
      </c>
    </row>
    <row r="284" ht="15.75" customHeight="1">
      <c r="A284" s="43" t="s">
        <v>77</v>
      </c>
      <c r="B284" s="43" t="s">
        <v>432</v>
      </c>
      <c r="C284" s="43" t="s">
        <v>387</v>
      </c>
      <c r="G284" s="44"/>
      <c r="H284" s="44"/>
      <c r="I284" s="44"/>
      <c r="J284" s="44"/>
      <c r="V284" s="43" t="s">
        <v>459</v>
      </c>
      <c r="Y284" s="29" t="s">
        <v>72</v>
      </c>
      <c r="AA284" s="37">
        <v>0.0</v>
      </c>
      <c r="AB284" s="45">
        <v>0.0</v>
      </c>
      <c r="AD284" s="43" t="s">
        <v>462</v>
      </c>
      <c r="AH284" s="40" t="str">
        <f t="shared" si="1"/>
        <v>Bosch</v>
      </c>
      <c r="AI284" s="39" t="s">
        <v>82</v>
      </c>
    </row>
    <row r="285" ht="15.75" customHeight="1">
      <c r="A285" s="43" t="s">
        <v>77</v>
      </c>
      <c r="B285" s="43" t="s">
        <v>432</v>
      </c>
      <c r="C285" s="43" t="s">
        <v>387</v>
      </c>
      <c r="G285" s="44"/>
      <c r="H285" s="44"/>
      <c r="I285" s="44"/>
      <c r="J285" s="44"/>
      <c r="V285" s="43" t="s">
        <v>459</v>
      </c>
      <c r="Y285" s="29" t="s">
        <v>72</v>
      </c>
      <c r="AA285" s="37">
        <v>0.0</v>
      </c>
      <c r="AB285" s="45">
        <v>0.0</v>
      </c>
      <c r="AD285" s="43" t="s">
        <v>463</v>
      </c>
      <c r="AH285" s="40" t="str">
        <f t="shared" si="1"/>
        <v>Bosch</v>
      </c>
      <c r="AI285" s="39" t="s">
        <v>82</v>
      </c>
    </row>
    <row r="286" ht="15.75" customHeight="1">
      <c r="A286" s="43" t="s">
        <v>77</v>
      </c>
      <c r="B286" s="43" t="s">
        <v>432</v>
      </c>
      <c r="C286" s="43" t="s">
        <v>387</v>
      </c>
      <c r="G286" s="44"/>
      <c r="H286" s="44"/>
      <c r="I286" s="44"/>
      <c r="J286" s="44"/>
      <c r="V286" s="43" t="s">
        <v>459</v>
      </c>
      <c r="Y286" s="29" t="s">
        <v>72</v>
      </c>
      <c r="AA286" s="37">
        <v>0.0</v>
      </c>
      <c r="AB286" s="45">
        <v>0.0</v>
      </c>
      <c r="AD286" s="43" t="s">
        <v>464</v>
      </c>
      <c r="AH286" s="40" t="str">
        <f t="shared" si="1"/>
        <v>Bosch</v>
      </c>
      <c r="AI286" s="39" t="s">
        <v>82</v>
      </c>
    </row>
    <row r="287" ht="15.75" customHeight="1">
      <c r="A287" s="43" t="s">
        <v>77</v>
      </c>
      <c r="B287" s="43" t="s">
        <v>432</v>
      </c>
      <c r="C287" s="43" t="s">
        <v>387</v>
      </c>
      <c r="G287" s="44"/>
      <c r="H287" s="44"/>
      <c r="I287" s="44"/>
      <c r="J287" s="44"/>
      <c r="V287" s="43" t="s">
        <v>459</v>
      </c>
      <c r="Y287" s="29" t="s">
        <v>72</v>
      </c>
      <c r="AA287" s="37">
        <v>0.0</v>
      </c>
      <c r="AB287" s="45">
        <v>0.0</v>
      </c>
      <c r="AD287" s="43" t="s">
        <v>460</v>
      </c>
      <c r="AH287" s="40" t="str">
        <f t="shared" si="1"/>
        <v>Bosch</v>
      </c>
      <c r="AI287" s="39" t="s">
        <v>82</v>
      </c>
    </row>
    <row r="288" ht="15.75" customHeight="1">
      <c r="A288" s="43" t="s">
        <v>77</v>
      </c>
      <c r="B288" s="43" t="s">
        <v>432</v>
      </c>
      <c r="C288" s="43" t="s">
        <v>387</v>
      </c>
      <c r="G288" s="44"/>
      <c r="H288" s="44"/>
      <c r="I288" s="44"/>
      <c r="J288" s="44"/>
      <c r="V288" s="43" t="s">
        <v>459</v>
      </c>
      <c r="Y288" s="29" t="s">
        <v>72</v>
      </c>
      <c r="AA288" s="37">
        <v>0.0</v>
      </c>
      <c r="AB288" s="45">
        <v>0.0</v>
      </c>
      <c r="AD288" s="43" t="s">
        <v>461</v>
      </c>
      <c r="AH288" s="40" t="str">
        <f t="shared" si="1"/>
        <v>Bosch</v>
      </c>
      <c r="AI288" s="39" t="s">
        <v>82</v>
      </c>
    </row>
    <row r="289" ht="15.75" customHeight="1">
      <c r="A289" s="43" t="s">
        <v>77</v>
      </c>
      <c r="B289" s="43" t="s">
        <v>432</v>
      </c>
      <c r="C289" s="43" t="s">
        <v>387</v>
      </c>
      <c r="G289" s="44"/>
      <c r="H289" s="44"/>
      <c r="I289" s="44"/>
      <c r="J289" s="44"/>
      <c r="V289" s="43" t="s">
        <v>459</v>
      </c>
      <c r="Y289" s="29" t="s">
        <v>72</v>
      </c>
      <c r="AA289" s="37">
        <v>0.0</v>
      </c>
      <c r="AB289" s="45">
        <v>0.0</v>
      </c>
      <c r="AD289" s="43" t="s">
        <v>462</v>
      </c>
      <c r="AH289" s="40" t="str">
        <f t="shared" si="1"/>
        <v>Bosch</v>
      </c>
      <c r="AI289" s="39" t="s">
        <v>82</v>
      </c>
    </row>
    <row r="290" ht="15.75" customHeight="1">
      <c r="A290" s="43" t="s">
        <v>77</v>
      </c>
      <c r="B290" s="43" t="s">
        <v>432</v>
      </c>
      <c r="C290" s="43" t="s">
        <v>387</v>
      </c>
      <c r="G290" s="44"/>
      <c r="H290" s="44"/>
      <c r="I290" s="44"/>
      <c r="J290" s="44"/>
      <c r="V290" s="43" t="s">
        <v>459</v>
      </c>
      <c r="Y290" s="29" t="s">
        <v>72</v>
      </c>
      <c r="AA290" s="37">
        <v>0.0</v>
      </c>
      <c r="AB290" s="45">
        <v>0.0</v>
      </c>
      <c r="AD290" s="43" t="s">
        <v>463</v>
      </c>
      <c r="AH290" s="40" t="str">
        <f t="shared" si="1"/>
        <v>Bosch</v>
      </c>
      <c r="AI290" s="39" t="s">
        <v>82</v>
      </c>
    </row>
    <row r="291" ht="15.75" customHeight="1">
      <c r="A291" s="43" t="s">
        <v>77</v>
      </c>
      <c r="B291" s="43" t="s">
        <v>432</v>
      </c>
      <c r="C291" s="43" t="s">
        <v>387</v>
      </c>
      <c r="G291" s="44"/>
      <c r="H291" s="44"/>
      <c r="I291" s="44"/>
      <c r="J291" s="44"/>
      <c r="V291" s="43" t="s">
        <v>459</v>
      </c>
      <c r="Y291" s="29" t="s">
        <v>72</v>
      </c>
      <c r="AA291" s="37">
        <v>0.0</v>
      </c>
      <c r="AB291" s="45">
        <v>0.0</v>
      </c>
      <c r="AD291" s="43" t="s">
        <v>464</v>
      </c>
      <c r="AH291" s="40" t="str">
        <f t="shared" si="1"/>
        <v>Bosch</v>
      </c>
      <c r="AI291" s="39" t="s">
        <v>82</v>
      </c>
    </row>
    <row r="292" ht="15.75" customHeight="1">
      <c r="A292" s="43" t="s">
        <v>77</v>
      </c>
      <c r="B292" s="43" t="s">
        <v>432</v>
      </c>
      <c r="C292" s="43" t="s">
        <v>387</v>
      </c>
      <c r="G292" s="44"/>
      <c r="H292" s="44"/>
      <c r="I292" s="44"/>
      <c r="J292" s="44"/>
      <c r="V292" s="43" t="s">
        <v>465</v>
      </c>
      <c r="Y292" s="29" t="s">
        <v>72</v>
      </c>
      <c r="AA292" s="37">
        <v>80.22</v>
      </c>
      <c r="AB292" s="45">
        <v>112.31</v>
      </c>
      <c r="AD292" s="47">
        <v>8.733967005E9</v>
      </c>
      <c r="AH292" s="40" t="str">
        <f t="shared" si="1"/>
        <v>Bosch</v>
      </c>
      <c r="AI292" s="39" t="s">
        <v>82</v>
      </c>
    </row>
    <row r="293" ht="15.75" customHeight="1">
      <c r="A293" s="43" t="s">
        <v>77</v>
      </c>
      <c r="B293" s="43" t="s">
        <v>78</v>
      </c>
      <c r="C293" s="43" t="s">
        <v>387</v>
      </c>
      <c r="G293" s="44"/>
      <c r="H293" s="44"/>
      <c r="I293" s="44"/>
      <c r="J293" s="44"/>
      <c r="V293" s="43" t="s">
        <v>466</v>
      </c>
      <c r="Y293" s="29" t="s">
        <v>72</v>
      </c>
      <c r="AA293" s="37">
        <v>499.73</v>
      </c>
      <c r="AB293" s="45">
        <v>699.62</v>
      </c>
      <c r="AD293" s="43" t="s">
        <v>467</v>
      </c>
      <c r="AF293" s="46" t="s">
        <v>85</v>
      </c>
      <c r="AH293" s="40" t="str">
        <f t="shared" si="1"/>
        <v>Bosch</v>
      </c>
      <c r="AI293" s="39" t="s">
        <v>82</v>
      </c>
    </row>
    <row r="294" ht="15.75" customHeight="1">
      <c r="A294" s="43" t="s">
        <v>77</v>
      </c>
      <c r="B294" s="43" t="s">
        <v>78</v>
      </c>
      <c r="C294" s="43" t="s">
        <v>387</v>
      </c>
      <c r="G294" s="44"/>
      <c r="H294" s="44"/>
      <c r="I294" s="44"/>
      <c r="J294" s="44"/>
      <c r="V294" s="43" t="s">
        <v>468</v>
      </c>
      <c r="Y294" s="29" t="s">
        <v>72</v>
      </c>
      <c r="AA294" s="37">
        <v>584.63</v>
      </c>
      <c r="AB294" s="45">
        <v>818.49</v>
      </c>
      <c r="AD294" s="43" t="s">
        <v>469</v>
      </c>
      <c r="AF294" s="46" t="s">
        <v>85</v>
      </c>
      <c r="AH294" s="40" t="str">
        <f t="shared" si="1"/>
        <v>Bosch</v>
      </c>
      <c r="AI294" s="39" t="s">
        <v>82</v>
      </c>
    </row>
    <row r="295" ht="15.75" customHeight="1">
      <c r="A295" s="43" t="s">
        <v>77</v>
      </c>
      <c r="B295" s="43" t="s">
        <v>78</v>
      </c>
      <c r="C295" s="43" t="s">
        <v>387</v>
      </c>
      <c r="G295" s="44"/>
      <c r="H295" s="44"/>
      <c r="I295" s="44"/>
      <c r="J295" s="44"/>
      <c r="V295" s="43" t="s">
        <v>470</v>
      </c>
      <c r="Y295" s="29" t="s">
        <v>72</v>
      </c>
      <c r="AA295" s="37">
        <v>670.41</v>
      </c>
      <c r="AB295" s="45">
        <v>938.57</v>
      </c>
      <c r="AD295" s="43" t="s">
        <v>471</v>
      </c>
      <c r="AF295" s="46" t="s">
        <v>85</v>
      </c>
      <c r="AH295" s="40" t="str">
        <f t="shared" si="1"/>
        <v>Bosch</v>
      </c>
      <c r="AI295" s="39" t="s">
        <v>82</v>
      </c>
    </row>
    <row r="296" ht="15.75" customHeight="1">
      <c r="A296" s="43" t="s">
        <v>77</v>
      </c>
      <c r="B296" s="43" t="s">
        <v>78</v>
      </c>
      <c r="C296" s="43" t="s">
        <v>387</v>
      </c>
      <c r="G296" s="44"/>
      <c r="H296" s="44"/>
      <c r="I296" s="44"/>
      <c r="J296" s="44"/>
      <c r="V296" s="43" t="s">
        <v>472</v>
      </c>
      <c r="Y296" s="29" t="s">
        <v>72</v>
      </c>
      <c r="AA296" s="37">
        <v>846.81</v>
      </c>
      <c r="AB296" s="45">
        <v>1185.54</v>
      </c>
      <c r="AD296" s="43" t="s">
        <v>473</v>
      </c>
      <c r="AF296" s="46" t="s">
        <v>85</v>
      </c>
      <c r="AH296" s="40" t="str">
        <f t="shared" si="1"/>
        <v>Bosch</v>
      </c>
      <c r="AI296" s="39" t="s">
        <v>82</v>
      </c>
    </row>
    <row r="297" ht="15.75" customHeight="1">
      <c r="A297" s="43" t="s">
        <v>77</v>
      </c>
      <c r="B297" s="43" t="s">
        <v>78</v>
      </c>
      <c r="C297" s="43" t="s">
        <v>387</v>
      </c>
      <c r="G297" s="44"/>
      <c r="H297" s="44"/>
      <c r="I297" s="44"/>
      <c r="J297" s="44"/>
      <c r="V297" s="43" t="s">
        <v>474</v>
      </c>
      <c r="Y297" s="29" t="s">
        <v>72</v>
      </c>
      <c r="AA297" s="37">
        <v>994.62</v>
      </c>
      <c r="AB297" s="45">
        <v>1392.47</v>
      </c>
      <c r="AD297" s="43" t="s">
        <v>475</v>
      </c>
      <c r="AF297" s="46" t="s">
        <v>85</v>
      </c>
      <c r="AH297" s="40" t="str">
        <f t="shared" si="1"/>
        <v>Bosch</v>
      </c>
      <c r="AI297" s="39" t="s">
        <v>82</v>
      </c>
    </row>
    <row r="298" ht="15.75" customHeight="1">
      <c r="A298" s="43" t="s">
        <v>77</v>
      </c>
      <c r="B298" s="43" t="s">
        <v>78</v>
      </c>
      <c r="C298" s="43" t="s">
        <v>387</v>
      </c>
      <c r="G298" s="44"/>
      <c r="H298" s="44"/>
      <c r="I298" s="44"/>
      <c r="J298" s="44"/>
      <c r="V298" s="43" t="s">
        <v>476</v>
      </c>
      <c r="Y298" s="29" t="s">
        <v>72</v>
      </c>
      <c r="AA298" s="37">
        <v>1058.4</v>
      </c>
      <c r="AB298" s="45">
        <v>1481.76</v>
      </c>
      <c r="AD298" s="43" t="s">
        <v>477</v>
      </c>
      <c r="AF298" s="46" t="s">
        <v>85</v>
      </c>
      <c r="AH298" s="40" t="str">
        <f t="shared" si="1"/>
        <v>Bosch</v>
      </c>
      <c r="AI298" s="39" t="s">
        <v>82</v>
      </c>
    </row>
    <row r="299" ht="15.75" customHeight="1">
      <c r="A299" s="43" t="s">
        <v>77</v>
      </c>
      <c r="B299" s="43" t="s">
        <v>78</v>
      </c>
      <c r="C299" s="43" t="s">
        <v>387</v>
      </c>
      <c r="G299" s="44"/>
      <c r="H299" s="44"/>
      <c r="I299" s="44"/>
      <c r="J299" s="44"/>
      <c r="V299" s="43" t="s">
        <v>478</v>
      </c>
      <c r="Y299" s="29" t="s">
        <v>72</v>
      </c>
      <c r="AA299" s="37">
        <v>1119.11</v>
      </c>
      <c r="AB299" s="45">
        <v>1566.75</v>
      </c>
      <c r="AD299" s="43" t="s">
        <v>479</v>
      </c>
      <c r="AF299" s="46" t="s">
        <v>85</v>
      </c>
      <c r="AH299" s="40" t="str">
        <f t="shared" si="1"/>
        <v>Bosch</v>
      </c>
      <c r="AI299" s="39" t="s">
        <v>82</v>
      </c>
    </row>
    <row r="300" ht="15.75" customHeight="1">
      <c r="A300" s="43" t="s">
        <v>77</v>
      </c>
      <c r="B300" s="43" t="s">
        <v>280</v>
      </c>
      <c r="C300" s="43" t="s">
        <v>387</v>
      </c>
      <c r="G300" s="44"/>
      <c r="H300" s="44"/>
      <c r="I300" s="44"/>
      <c r="J300" s="44"/>
      <c r="V300" s="43" t="s">
        <v>480</v>
      </c>
      <c r="Y300" s="29" t="s">
        <v>72</v>
      </c>
      <c r="AA300" s="37">
        <v>918.08</v>
      </c>
      <c r="AB300" s="45">
        <v>1285.31</v>
      </c>
      <c r="AD300" s="43" t="s">
        <v>481</v>
      </c>
      <c r="AF300" s="46" t="s">
        <v>85</v>
      </c>
      <c r="AH300" s="40" t="str">
        <f t="shared" si="1"/>
        <v>Bosch</v>
      </c>
      <c r="AI300" s="39" t="s">
        <v>82</v>
      </c>
    </row>
    <row r="301" ht="15.75" customHeight="1">
      <c r="A301" s="43" t="s">
        <v>77</v>
      </c>
      <c r="B301" s="43" t="s">
        <v>280</v>
      </c>
      <c r="C301" s="43" t="s">
        <v>387</v>
      </c>
      <c r="G301" s="44"/>
      <c r="H301" s="44"/>
      <c r="I301" s="44"/>
      <c r="J301" s="44"/>
      <c r="V301" s="43" t="s">
        <v>480</v>
      </c>
      <c r="Y301" s="29" t="s">
        <v>72</v>
      </c>
      <c r="AA301" s="37">
        <v>918.08</v>
      </c>
      <c r="AB301" s="45">
        <v>1285.31</v>
      </c>
      <c r="AD301" s="43" t="s">
        <v>481</v>
      </c>
      <c r="AF301" s="46" t="s">
        <v>85</v>
      </c>
      <c r="AH301" s="40" t="str">
        <f t="shared" si="1"/>
        <v>Bosch</v>
      </c>
      <c r="AI301" s="39" t="s">
        <v>82</v>
      </c>
    </row>
    <row r="302" ht="15.75" customHeight="1">
      <c r="A302" s="43" t="s">
        <v>77</v>
      </c>
      <c r="B302" s="43" t="s">
        <v>280</v>
      </c>
      <c r="C302" s="43" t="s">
        <v>387</v>
      </c>
      <c r="G302" s="44"/>
      <c r="H302" s="44"/>
      <c r="I302" s="44"/>
      <c r="J302" s="44"/>
      <c r="V302" s="43" t="s">
        <v>482</v>
      </c>
      <c r="Y302" s="29" t="s">
        <v>72</v>
      </c>
      <c r="AA302" s="37">
        <v>1001.21</v>
      </c>
      <c r="AB302" s="45">
        <v>1401.7</v>
      </c>
      <c r="AD302" s="43" t="s">
        <v>483</v>
      </c>
      <c r="AF302" s="46" t="s">
        <v>85</v>
      </c>
      <c r="AH302" s="40" t="str">
        <f t="shared" si="1"/>
        <v>Bosch</v>
      </c>
      <c r="AI302" s="39" t="s">
        <v>82</v>
      </c>
    </row>
    <row r="303" ht="15.75" customHeight="1">
      <c r="A303" s="43" t="s">
        <v>77</v>
      </c>
      <c r="B303" s="43" t="s">
        <v>280</v>
      </c>
      <c r="C303" s="43" t="s">
        <v>387</v>
      </c>
      <c r="G303" s="44"/>
      <c r="H303" s="44"/>
      <c r="I303" s="44"/>
      <c r="J303" s="44"/>
      <c r="V303" s="43" t="s">
        <v>484</v>
      </c>
      <c r="Y303" s="29" t="s">
        <v>72</v>
      </c>
      <c r="AA303" s="37">
        <v>1418.24</v>
      </c>
      <c r="AB303" s="45">
        <v>1985.53</v>
      </c>
      <c r="AD303" s="43" t="s">
        <v>485</v>
      </c>
      <c r="AF303" s="46" t="s">
        <v>85</v>
      </c>
      <c r="AH303" s="40" t="str">
        <f t="shared" si="1"/>
        <v>Bosch</v>
      </c>
      <c r="AI303" s="39" t="s">
        <v>82</v>
      </c>
    </row>
    <row r="304" ht="15.75" customHeight="1">
      <c r="A304" s="43" t="s">
        <v>77</v>
      </c>
      <c r="B304" s="43" t="s">
        <v>280</v>
      </c>
      <c r="C304" s="43" t="s">
        <v>387</v>
      </c>
      <c r="G304" s="44"/>
      <c r="H304" s="44"/>
      <c r="I304" s="44"/>
      <c r="J304" s="44"/>
      <c r="V304" s="43" t="s">
        <v>486</v>
      </c>
      <c r="Y304" s="29" t="s">
        <v>72</v>
      </c>
      <c r="AA304" s="37">
        <v>1543.17</v>
      </c>
      <c r="AB304" s="45">
        <v>2160.44</v>
      </c>
      <c r="AD304" s="43" t="s">
        <v>487</v>
      </c>
      <c r="AF304" s="46" t="s">
        <v>85</v>
      </c>
      <c r="AH304" s="40" t="str">
        <f t="shared" si="1"/>
        <v>Bosch</v>
      </c>
      <c r="AI304" s="39" t="s">
        <v>82</v>
      </c>
    </row>
    <row r="305" ht="15.75" customHeight="1">
      <c r="A305" s="43" t="s">
        <v>77</v>
      </c>
      <c r="B305" s="43" t="s">
        <v>280</v>
      </c>
      <c r="C305" s="43" t="s">
        <v>387</v>
      </c>
      <c r="G305" s="44"/>
      <c r="H305" s="44"/>
      <c r="I305" s="44"/>
      <c r="J305" s="44"/>
      <c r="V305" s="43" t="s">
        <v>488</v>
      </c>
      <c r="Y305" s="29" t="s">
        <v>72</v>
      </c>
      <c r="AA305" s="37">
        <v>2093.04</v>
      </c>
      <c r="AB305" s="45">
        <v>2930.26</v>
      </c>
      <c r="AD305" s="43" t="s">
        <v>489</v>
      </c>
      <c r="AF305" s="46" t="s">
        <v>85</v>
      </c>
      <c r="AH305" s="40" t="str">
        <f t="shared" si="1"/>
        <v>Bosch</v>
      </c>
      <c r="AI305" s="39" t="s">
        <v>82</v>
      </c>
    </row>
    <row r="306" ht="15.75" customHeight="1">
      <c r="A306" s="43" t="s">
        <v>77</v>
      </c>
      <c r="B306" s="43" t="s">
        <v>280</v>
      </c>
      <c r="C306" s="43" t="s">
        <v>387</v>
      </c>
      <c r="G306" s="44"/>
      <c r="H306" s="44"/>
      <c r="I306" s="44"/>
      <c r="J306" s="44"/>
      <c r="V306" s="43" t="s">
        <v>490</v>
      </c>
      <c r="Y306" s="29" t="s">
        <v>72</v>
      </c>
      <c r="AA306" s="37">
        <v>2645.12</v>
      </c>
      <c r="AB306" s="45">
        <v>3703.17</v>
      </c>
      <c r="AD306" s="43" t="s">
        <v>491</v>
      </c>
      <c r="AF306" s="46" t="s">
        <v>85</v>
      </c>
      <c r="AH306" s="40" t="str">
        <f t="shared" si="1"/>
        <v>Bosch</v>
      </c>
      <c r="AI306" s="39" t="s">
        <v>82</v>
      </c>
    </row>
    <row r="307" ht="15.75" customHeight="1">
      <c r="A307" s="43" t="s">
        <v>77</v>
      </c>
      <c r="B307" s="43" t="s">
        <v>78</v>
      </c>
      <c r="C307" s="43" t="s">
        <v>387</v>
      </c>
      <c r="G307" s="44"/>
      <c r="H307" s="44"/>
      <c r="I307" s="44"/>
      <c r="J307" s="44"/>
      <c r="V307" s="43" t="s">
        <v>468</v>
      </c>
      <c r="Y307" s="29" t="s">
        <v>72</v>
      </c>
      <c r="AA307" s="37">
        <v>584.63</v>
      </c>
      <c r="AB307" s="45">
        <v>818.49</v>
      </c>
      <c r="AD307" s="43" t="s">
        <v>469</v>
      </c>
      <c r="AF307" s="46" t="s">
        <v>85</v>
      </c>
      <c r="AH307" s="40" t="str">
        <f t="shared" si="1"/>
        <v>Bosch</v>
      </c>
      <c r="AI307" s="39" t="s">
        <v>82</v>
      </c>
    </row>
    <row r="308" ht="15.75" customHeight="1">
      <c r="A308" s="43" t="s">
        <v>77</v>
      </c>
      <c r="B308" s="43" t="s">
        <v>78</v>
      </c>
      <c r="C308" s="43" t="s">
        <v>387</v>
      </c>
      <c r="G308" s="44"/>
      <c r="H308" s="44"/>
      <c r="I308" s="44"/>
      <c r="J308" s="44"/>
      <c r="V308" s="43" t="s">
        <v>470</v>
      </c>
      <c r="Y308" s="29" t="s">
        <v>72</v>
      </c>
      <c r="AA308" s="37">
        <v>670.41</v>
      </c>
      <c r="AB308" s="45">
        <v>938.57</v>
      </c>
      <c r="AD308" s="43" t="s">
        <v>471</v>
      </c>
      <c r="AF308" s="46" t="s">
        <v>85</v>
      </c>
      <c r="AH308" s="40" t="str">
        <f t="shared" si="1"/>
        <v>Bosch</v>
      </c>
      <c r="AI308" s="39" t="s">
        <v>82</v>
      </c>
    </row>
    <row r="309" ht="15.75" customHeight="1">
      <c r="A309" s="43" t="s">
        <v>77</v>
      </c>
      <c r="B309" s="43" t="s">
        <v>78</v>
      </c>
      <c r="C309" s="43" t="s">
        <v>387</v>
      </c>
      <c r="G309" s="44"/>
      <c r="H309" s="44"/>
      <c r="I309" s="44"/>
      <c r="J309" s="44"/>
      <c r="V309" s="43" t="s">
        <v>472</v>
      </c>
      <c r="Y309" s="29" t="s">
        <v>72</v>
      </c>
      <c r="AA309" s="37">
        <v>846.81</v>
      </c>
      <c r="AB309" s="45">
        <v>1185.54</v>
      </c>
      <c r="AD309" s="43" t="s">
        <v>473</v>
      </c>
      <c r="AF309" s="46" t="s">
        <v>85</v>
      </c>
      <c r="AH309" s="40" t="str">
        <f t="shared" si="1"/>
        <v>Bosch</v>
      </c>
      <c r="AI309" s="39" t="s">
        <v>82</v>
      </c>
    </row>
    <row r="310" ht="15.75" customHeight="1">
      <c r="A310" s="43" t="s">
        <v>77</v>
      </c>
      <c r="B310" s="43" t="s">
        <v>78</v>
      </c>
      <c r="C310" s="43" t="s">
        <v>387</v>
      </c>
      <c r="G310" s="44"/>
      <c r="H310" s="44"/>
      <c r="I310" s="44"/>
      <c r="J310" s="44"/>
      <c r="V310" s="43" t="s">
        <v>474</v>
      </c>
      <c r="Y310" s="29" t="s">
        <v>72</v>
      </c>
      <c r="AA310" s="37">
        <v>994.62</v>
      </c>
      <c r="AB310" s="45">
        <v>1392.47</v>
      </c>
      <c r="AD310" s="43" t="s">
        <v>475</v>
      </c>
      <c r="AF310" s="46" t="s">
        <v>85</v>
      </c>
      <c r="AH310" s="40" t="str">
        <f t="shared" si="1"/>
        <v>Bosch</v>
      </c>
      <c r="AI310" s="39" t="s">
        <v>82</v>
      </c>
    </row>
    <row r="311" ht="15.75" customHeight="1">
      <c r="A311" s="43" t="s">
        <v>77</v>
      </c>
      <c r="B311" s="43" t="s">
        <v>280</v>
      </c>
      <c r="C311" s="43" t="s">
        <v>387</v>
      </c>
      <c r="G311" s="44"/>
      <c r="H311" s="44"/>
      <c r="I311" s="44"/>
      <c r="J311" s="44"/>
      <c r="V311" s="43" t="s">
        <v>492</v>
      </c>
      <c r="Y311" s="29" t="s">
        <v>72</v>
      </c>
      <c r="AA311" s="37">
        <v>1287.15</v>
      </c>
      <c r="AB311" s="45">
        <v>1802.01</v>
      </c>
      <c r="AD311" s="43" t="s">
        <v>493</v>
      </c>
      <c r="AF311" s="46" t="s">
        <v>85</v>
      </c>
      <c r="AH311" s="40" t="str">
        <f t="shared" si="1"/>
        <v>Bosch</v>
      </c>
      <c r="AI311" s="39" t="s">
        <v>82</v>
      </c>
    </row>
    <row r="312" ht="15.75" customHeight="1">
      <c r="A312" s="43" t="s">
        <v>77</v>
      </c>
      <c r="B312" s="43" t="s">
        <v>280</v>
      </c>
      <c r="C312" s="43" t="s">
        <v>387</v>
      </c>
      <c r="G312" s="44"/>
      <c r="H312" s="44"/>
      <c r="I312" s="44"/>
      <c r="J312" s="44"/>
      <c r="V312" s="43" t="s">
        <v>494</v>
      </c>
      <c r="Y312" s="29" t="s">
        <v>72</v>
      </c>
      <c r="AA312" s="37">
        <v>1384.81</v>
      </c>
      <c r="AB312" s="45">
        <v>1938.73</v>
      </c>
      <c r="AD312" s="43" t="s">
        <v>495</v>
      </c>
      <c r="AF312" s="46" t="s">
        <v>85</v>
      </c>
      <c r="AH312" s="40" t="str">
        <f t="shared" si="1"/>
        <v>Bosch</v>
      </c>
      <c r="AI312" s="39" t="s">
        <v>82</v>
      </c>
    </row>
    <row r="313" ht="15.75" customHeight="1">
      <c r="A313" s="43" t="s">
        <v>77</v>
      </c>
      <c r="B313" s="43" t="s">
        <v>280</v>
      </c>
      <c r="C313" s="43" t="s">
        <v>387</v>
      </c>
      <c r="G313" s="44"/>
      <c r="H313" s="44"/>
      <c r="I313" s="44"/>
      <c r="J313" s="44"/>
      <c r="V313" s="43" t="s">
        <v>496</v>
      </c>
      <c r="Y313" s="29" t="s">
        <v>72</v>
      </c>
      <c r="AA313" s="37">
        <v>1791.72</v>
      </c>
      <c r="AB313" s="45">
        <v>2508.41</v>
      </c>
      <c r="AD313" s="43" t="s">
        <v>497</v>
      </c>
      <c r="AF313" s="46" t="s">
        <v>85</v>
      </c>
      <c r="AH313" s="40" t="str">
        <f t="shared" si="1"/>
        <v>Bosch</v>
      </c>
      <c r="AI313" s="39" t="s">
        <v>82</v>
      </c>
    </row>
    <row r="314" ht="15.75" customHeight="1">
      <c r="A314" s="43" t="s">
        <v>77</v>
      </c>
      <c r="B314" s="43" t="s">
        <v>280</v>
      </c>
      <c r="C314" s="43" t="s">
        <v>387</v>
      </c>
      <c r="G314" s="44"/>
      <c r="H314" s="44"/>
      <c r="I314" s="44"/>
      <c r="J314" s="44"/>
      <c r="V314" s="43" t="s">
        <v>498</v>
      </c>
      <c r="Y314" s="29" t="s">
        <v>72</v>
      </c>
      <c r="AA314" s="37">
        <v>2219.3</v>
      </c>
      <c r="AB314" s="45">
        <v>3107.02</v>
      </c>
      <c r="AD314" s="43" t="s">
        <v>499</v>
      </c>
      <c r="AF314" s="46" t="s">
        <v>85</v>
      </c>
      <c r="AH314" s="40" t="str">
        <f t="shared" si="1"/>
        <v>Bosch</v>
      </c>
      <c r="AI314" s="39" t="s">
        <v>82</v>
      </c>
    </row>
    <row r="315" ht="15.75" customHeight="1">
      <c r="A315" s="43" t="s">
        <v>77</v>
      </c>
      <c r="B315" s="43" t="s">
        <v>78</v>
      </c>
      <c r="C315" s="43" t="s">
        <v>387</v>
      </c>
      <c r="G315" s="44"/>
      <c r="H315" s="44"/>
      <c r="I315" s="44"/>
      <c r="J315" s="44"/>
      <c r="V315" s="43" t="s">
        <v>500</v>
      </c>
      <c r="Y315" s="29" t="s">
        <v>72</v>
      </c>
      <c r="AA315" s="37">
        <v>0.0</v>
      </c>
      <c r="AB315" s="45">
        <v>0.0</v>
      </c>
      <c r="AD315" s="43" t="s">
        <v>501</v>
      </c>
      <c r="AF315" s="46" t="s">
        <v>85</v>
      </c>
      <c r="AH315" s="40" t="str">
        <f t="shared" si="1"/>
        <v>Bosch</v>
      </c>
      <c r="AI315" s="39" t="s">
        <v>82</v>
      </c>
    </row>
    <row r="316" ht="15.75" customHeight="1">
      <c r="A316" s="43" t="s">
        <v>77</v>
      </c>
      <c r="B316" s="43" t="s">
        <v>280</v>
      </c>
      <c r="C316" s="43" t="s">
        <v>387</v>
      </c>
      <c r="G316" s="44"/>
      <c r="H316" s="44"/>
      <c r="I316" s="44"/>
      <c r="J316" s="44"/>
      <c r="V316" s="43" t="s">
        <v>482</v>
      </c>
      <c r="Y316" s="29" t="s">
        <v>72</v>
      </c>
      <c r="AA316" s="37">
        <v>0.0</v>
      </c>
      <c r="AB316" s="45">
        <v>0.0</v>
      </c>
      <c r="AD316" s="43" t="s">
        <v>502</v>
      </c>
      <c r="AF316" s="46" t="s">
        <v>85</v>
      </c>
      <c r="AH316" s="40" t="str">
        <f t="shared" si="1"/>
        <v>Bosch</v>
      </c>
      <c r="AI316" s="39" t="s">
        <v>82</v>
      </c>
    </row>
    <row r="317" ht="15.75" customHeight="1">
      <c r="A317" s="43" t="s">
        <v>77</v>
      </c>
      <c r="B317" s="43" t="s">
        <v>78</v>
      </c>
      <c r="C317" s="43" t="s">
        <v>387</v>
      </c>
      <c r="G317" s="44"/>
      <c r="H317" s="44"/>
      <c r="I317" s="44"/>
      <c r="J317" s="44"/>
      <c r="V317" s="43" t="s">
        <v>503</v>
      </c>
      <c r="Y317" s="29" t="s">
        <v>72</v>
      </c>
      <c r="AA317" s="37">
        <v>1621.92</v>
      </c>
      <c r="AB317" s="45">
        <v>2270.68</v>
      </c>
      <c r="AD317" s="43" t="s">
        <v>504</v>
      </c>
      <c r="AF317" s="46" t="s">
        <v>85</v>
      </c>
      <c r="AH317" s="40" t="str">
        <f t="shared" si="1"/>
        <v>Bosch</v>
      </c>
      <c r="AI317" s="39" t="s">
        <v>82</v>
      </c>
    </row>
    <row r="318" ht="15.75" customHeight="1">
      <c r="A318" s="43" t="s">
        <v>77</v>
      </c>
      <c r="B318" s="43" t="s">
        <v>78</v>
      </c>
      <c r="C318" s="43" t="s">
        <v>387</v>
      </c>
      <c r="G318" s="44"/>
      <c r="H318" s="44"/>
      <c r="I318" s="44"/>
      <c r="J318" s="44"/>
      <c r="V318" s="43" t="s">
        <v>505</v>
      </c>
      <c r="Y318" s="29" t="s">
        <v>72</v>
      </c>
      <c r="AA318" s="37">
        <v>1663.7</v>
      </c>
      <c r="AB318" s="45">
        <v>2329.18</v>
      </c>
      <c r="AD318" s="43" t="s">
        <v>506</v>
      </c>
      <c r="AF318" s="46" t="s">
        <v>85</v>
      </c>
      <c r="AH318" s="40" t="str">
        <f t="shared" si="1"/>
        <v>Bosch</v>
      </c>
      <c r="AI318" s="39" t="s">
        <v>82</v>
      </c>
    </row>
    <row r="319" ht="15.75" customHeight="1">
      <c r="A319" s="43" t="s">
        <v>77</v>
      </c>
      <c r="B319" s="43" t="s">
        <v>78</v>
      </c>
      <c r="C319" s="43" t="s">
        <v>387</v>
      </c>
      <c r="G319" s="44"/>
      <c r="H319" s="44"/>
      <c r="I319" s="44"/>
      <c r="J319" s="44"/>
      <c r="V319" s="43" t="s">
        <v>507</v>
      </c>
      <c r="Y319" s="29" t="s">
        <v>72</v>
      </c>
      <c r="AA319" s="37">
        <v>1685.7</v>
      </c>
      <c r="AB319" s="45">
        <v>2359.98</v>
      </c>
      <c r="AD319" s="43" t="s">
        <v>508</v>
      </c>
      <c r="AF319" s="46" t="s">
        <v>85</v>
      </c>
      <c r="AH319" s="40" t="str">
        <f t="shared" si="1"/>
        <v>Bosch</v>
      </c>
      <c r="AI319" s="39" t="s">
        <v>82</v>
      </c>
    </row>
    <row r="320" ht="15.75" customHeight="1">
      <c r="A320" s="43" t="s">
        <v>77</v>
      </c>
      <c r="B320" s="43" t="s">
        <v>280</v>
      </c>
      <c r="C320" s="43" t="s">
        <v>387</v>
      </c>
      <c r="G320" s="44"/>
      <c r="H320" s="44"/>
      <c r="I320" s="44"/>
      <c r="J320" s="44"/>
      <c r="V320" s="43" t="s">
        <v>480</v>
      </c>
      <c r="Y320" s="29" t="s">
        <v>72</v>
      </c>
      <c r="AA320" s="37">
        <v>918.08</v>
      </c>
      <c r="AB320" s="45">
        <v>1285.31</v>
      </c>
      <c r="AD320" s="43" t="s">
        <v>481</v>
      </c>
      <c r="AF320" s="46" t="s">
        <v>85</v>
      </c>
      <c r="AH320" s="40" t="str">
        <f t="shared" si="1"/>
        <v>Bosch</v>
      </c>
      <c r="AI320" s="39" t="s">
        <v>82</v>
      </c>
    </row>
    <row r="321" ht="15.75" customHeight="1">
      <c r="A321" s="43" t="s">
        <v>77</v>
      </c>
      <c r="B321" s="43" t="s">
        <v>280</v>
      </c>
      <c r="C321" s="43" t="s">
        <v>387</v>
      </c>
      <c r="G321" s="44"/>
      <c r="H321" s="44"/>
      <c r="I321" s="44"/>
      <c r="J321" s="44"/>
      <c r="V321" s="43" t="s">
        <v>482</v>
      </c>
      <c r="Y321" s="29" t="s">
        <v>72</v>
      </c>
      <c r="AA321" s="37">
        <v>1001.21</v>
      </c>
      <c r="AB321" s="45">
        <v>1401.7</v>
      </c>
      <c r="AD321" s="43" t="s">
        <v>483</v>
      </c>
      <c r="AF321" s="46" t="s">
        <v>85</v>
      </c>
      <c r="AH321" s="40" t="str">
        <f t="shared" si="1"/>
        <v>Bosch</v>
      </c>
      <c r="AI321" s="39" t="s">
        <v>82</v>
      </c>
    </row>
    <row r="322" ht="15.75" customHeight="1">
      <c r="A322" s="43" t="s">
        <v>77</v>
      </c>
      <c r="B322" s="43" t="s">
        <v>280</v>
      </c>
      <c r="C322" s="43" t="s">
        <v>387</v>
      </c>
      <c r="G322" s="44"/>
      <c r="H322" s="44"/>
      <c r="I322" s="44"/>
      <c r="J322" s="44"/>
      <c r="V322" s="43" t="s">
        <v>484</v>
      </c>
      <c r="Y322" s="29" t="s">
        <v>72</v>
      </c>
      <c r="AA322" s="37">
        <v>1418.24</v>
      </c>
      <c r="AB322" s="45">
        <v>1985.53</v>
      </c>
      <c r="AD322" s="43" t="s">
        <v>485</v>
      </c>
      <c r="AF322" s="46" t="s">
        <v>85</v>
      </c>
      <c r="AH322" s="40" t="str">
        <f t="shared" si="1"/>
        <v>Bosch</v>
      </c>
      <c r="AI322" s="39" t="s">
        <v>82</v>
      </c>
    </row>
    <row r="323" ht="15.75" customHeight="1">
      <c r="A323" s="43" t="s">
        <v>77</v>
      </c>
      <c r="B323" s="43" t="s">
        <v>78</v>
      </c>
      <c r="C323" s="43" t="s">
        <v>387</v>
      </c>
      <c r="G323" s="44"/>
      <c r="H323" s="44"/>
      <c r="I323" s="44"/>
      <c r="J323" s="44"/>
      <c r="V323" s="43" t="s">
        <v>503</v>
      </c>
      <c r="Y323" s="29" t="s">
        <v>72</v>
      </c>
      <c r="AA323" s="37">
        <v>1621.92</v>
      </c>
      <c r="AB323" s="45">
        <v>2270.68</v>
      </c>
      <c r="AD323" s="43" t="s">
        <v>504</v>
      </c>
      <c r="AF323" s="46" t="s">
        <v>85</v>
      </c>
      <c r="AH323" s="40" t="str">
        <f t="shared" si="1"/>
        <v>Bosch</v>
      </c>
      <c r="AI323" s="39" t="s">
        <v>82</v>
      </c>
    </row>
    <row r="324" ht="15.75" customHeight="1">
      <c r="A324" s="43" t="s">
        <v>77</v>
      </c>
      <c r="B324" s="43" t="s">
        <v>78</v>
      </c>
      <c r="C324" s="43" t="s">
        <v>387</v>
      </c>
      <c r="G324" s="44"/>
      <c r="H324" s="44"/>
      <c r="I324" s="44"/>
      <c r="J324" s="44"/>
      <c r="V324" s="43" t="s">
        <v>505</v>
      </c>
      <c r="Y324" s="29" t="s">
        <v>72</v>
      </c>
      <c r="AA324" s="37">
        <v>1663.7</v>
      </c>
      <c r="AB324" s="45">
        <v>2329.18</v>
      </c>
      <c r="AD324" s="43" t="s">
        <v>506</v>
      </c>
      <c r="AF324" s="46" t="s">
        <v>85</v>
      </c>
      <c r="AH324" s="40" t="str">
        <f t="shared" si="1"/>
        <v>Bosch</v>
      </c>
      <c r="AI324" s="39" t="s">
        <v>82</v>
      </c>
    </row>
    <row r="325" ht="15.75" customHeight="1">
      <c r="A325" s="43" t="s">
        <v>77</v>
      </c>
      <c r="B325" s="43" t="s">
        <v>78</v>
      </c>
      <c r="C325" s="43" t="s">
        <v>387</v>
      </c>
      <c r="G325" s="44"/>
      <c r="H325" s="44"/>
      <c r="I325" s="44"/>
      <c r="J325" s="44"/>
      <c r="V325" s="43" t="s">
        <v>507</v>
      </c>
      <c r="Y325" s="29" t="s">
        <v>72</v>
      </c>
      <c r="AA325" s="37">
        <v>1685.7</v>
      </c>
      <c r="AB325" s="45">
        <v>2359.98</v>
      </c>
      <c r="AD325" s="43" t="s">
        <v>508</v>
      </c>
      <c r="AF325" s="46" t="s">
        <v>85</v>
      </c>
      <c r="AH325" s="40" t="str">
        <f t="shared" si="1"/>
        <v>Bosch</v>
      </c>
      <c r="AI325" s="39" t="s">
        <v>82</v>
      </c>
    </row>
    <row r="326" ht="15.75" customHeight="1">
      <c r="A326" s="43" t="s">
        <v>77</v>
      </c>
      <c r="B326" s="43" t="s">
        <v>280</v>
      </c>
      <c r="C326" s="43" t="s">
        <v>387</v>
      </c>
      <c r="G326" s="44"/>
      <c r="H326" s="44"/>
      <c r="I326" s="44"/>
      <c r="J326" s="44"/>
      <c r="V326" s="43" t="s">
        <v>492</v>
      </c>
      <c r="Y326" s="29" t="s">
        <v>72</v>
      </c>
      <c r="AA326" s="37">
        <v>1287.15</v>
      </c>
      <c r="AB326" s="45">
        <v>1802.01</v>
      </c>
      <c r="AD326" s="43" t="s">
        <v>493</v>
      </c>
      <c r="AF326" s="46" t="s">
        <v>85</v>
      </c>
      <c r="AH326" s="40" t="str">
        <f t="shared" si="1"/>
        <v>Bosch</v>
      </c>
      <c r="AI326" s="39" t="s">
        <v>82</v>
      </c>
    </row>
    <row r="327" ht="15.75" customHeight="1">
      <c r="A327" s="43" t="s">
        <v>77</v>
      </c>
      <c r="B327" s="43" t="s">
        <v>280</v>
      </c>
      <c r="C327" s="43" t="s">
        <v>387</v>
      </c>
      <c r="G327" s="44"/>
      <c r="H327" s="44"/>
      <c r="I327" s="44"/>
      <c r="J327" s="44"/>
      <c r="V327" s="43" t="s">
        <v>494</v>
      </c>
      <c r="Y327" s="29" t="s">
        <v>72</v>
      </c>
      <c r="AA327" s="37">
        <v>1384.81</v>
      </c>
      <c r="AB327" s="45">
        <v>1938.73</v>
      </c>
      <c r="AD327" s="43" t="s">
        <v>495</v>
      </c>
      <c r="AF327" s="46" t="s">
        <v>85</v>
      </c>
      <c r="AH327" s="40" t="str">
        <f t="shared" si="1"/>
        <v>Bosch</v>
      </c>
      <c r="AI327" s="39" t="s">
        <v>82</v>
      </c>
    </row>
    <row r="328" ht="15.75" customHeight="1">
      <c r="A328" s="43" t="s">
        <v>77</v>
      </c>
      <c r="B328" s="43" t="s">
        <v>280</v>
      </c>
      <c r="C328" s="43" t="s">
        <v>387</v>
      </c>
      <c r="G328" s="44"/>
      <c r="H328" s="44"/>
      <c r="I328" s="44"/>
      <c r="J328" s="44"/>
      <c r="V328" s="43" t="s">
        <v>496</v>
      </c>
      <c r="Y328" s="29" t="s">
        <v>72</v>
      </c>
      <c r="AA328" s="37">
        <v>1791.72</v>
      </c>
      <c r="AB328" s="45">
        <v>2508.41</v>
      </c>
      <c r="AD328" s="43" t="s">
        <v>497</v>
      </c>
      <c r="AF328" s="46" t="s">
        <v>85</v>
      </c>
      <c r="AH328" s="40" t="str">
        <f t="shared" si="1"/>
        <v>Bosch</v>
      </c>
      <c r="AI328" s="39" t="s">
        <v>82</v>
      </c>
    </row>
    <row r="329" ht="15.75" customHeight="1">
      <c r="A329" s="43" t="s">
        <v>77</v>
      </c>
      <c r="B329" s="43" t="s">
        <v>78</v>
      </c>
      <c r="C329" s="43" t="s">
        <v>387</v>
      </c>
      <c r="G329" s="44"/>
      <c r="H329" s="44"/>
      <c r="I329" s="44"/>
      <c r="J329" s="44"/>
      <c r="V329" s="43" t="s">
        <v>509</v>
      </c>
      <c r="Y329" s="29" t="s">
        <v>72</v>
      </c>
      <c r="AA329" s="37">
        <v>819.54</v>
      </c>
      <c r="AB329" s="45">
        <v>1147.35</v>
      </c>
      <c r="AD329" s="43" t="s">
        <v>510</v>
      </c>
      <c r="AF329" s="46" t="s">
        <v>85</v>
      </c>
      <c r="AH329" s="40" t="str">
        <f t="shared" si="1"/>
        <v>Bosch</v>
      </c>
      <c r="AI329" s="39" t="s">
        <v>82</v>
      </c>
    </row>
    <row r="330" ht="15.75" customHeight="1">
      <c r="A330" s="43" t="s">
        <v>77</v>
      </c>
      <c r="B330" s="43" t="s">
        <v>78</v>
      </c>
      <c r="C330" s="43" t="s">
        <v>387</v>
      </c>
      <c r="G330" s="44"/>
      <c r="H330" s="44"/>
      <c r="I330" s="44"/>
      <c r="J330" s="44"/>
      <c r="V330" s="43" t="s">
        <v>511</v>
      </c>
      <c r="Y330" s="29" t="s">
        <v>72</v>
      </c>
      <c r="AA330" s="37">
        <v>930.39</v>
      </c>
      <c r="AB330" s="45">
        <v>1302.55</v>
      </c>
      <c r="AD330" s="43" t="s">
        <v>512</v>
      </c>
      <c r="AF330" s="46" t="s">
        <v>85</v>
      </c>
      <c r="AH330" s="40" t="str">
        <f t="shared" si="1"/>
        <v>Bosch</v>
      </c>
      <c r="AI330" s="39" t="s">
        <v>82</v>
      </c>
    </row>
    <row r="331" ht="15.75" customHeight="1">
      <c r="A331" s="43" t="s">
        <v>77</v>
      </c>
      <c r="B331" s="43" t="s">
        <v>78</v>
      </c>
      <c r="C331" s="43" t="s">
        <v>387</v>
      </c>
      <c r="G331" s="44"/>
      <c r="H331" s="44"/>
      <c r="I331" s="44"/>
      <c r="J331" s="44"/>
      <c r="V331" s="43" t="s">
        <v>513</v>
      </c>
      <c r="Y331" s="29" t="s">
        <v>72</v>
      </c>
      <c r="AA331" s="37">
        <v>1138.46</v>
      </c>
      <c r="AB331" s="45">
        <v>1593.85</v>
      </c>
      <c r="AD331" s="43" t="s">
        <v>514</v>
      </c>
      <c r="AF331" s="46" t="s">
        <v>85</v>
      </c>
      <c r="AH331" s="40" t="str">
        <f t="shared" si="1"/>
        <v>Bosch</v>
      </c>
      <c r="AI331" s="39" t="s">
        <v>82</v>
      </c>
    </row>
    <row r="332" ht="15.75" customHeight="1">
      <c r="A332" s="43" t="s">
        <v>77</v>
      </c>
      <c r="B332" s="43" t="s">
        <v>78</v>
      </c>
      <c r="C332" s="43" t="s">
        <v>387</v>
      </c>
      <c r="G332" s="44"/>
      <c r="H332" s="44"/>
      <c r="I332" s="44"/>
      <c r="J332" s="44"/>
      <c r="V332" s="43" t="s">
        <v>515</v>
      </c>
      <c r="Y332" s="29" t="s">
        <v>72</v>
      </c>
      <c r="AA332" s="37">
        <v>1459.59</v>
      </c>
      <c r="AB332" s="45">
        <v>2043.42</v>
      </c>
      <c r="AD332" s="43" t="s">
        <v>516</v>
      </c>
      <c r="AF332" s="46" t="s">
        <v>85</v>
      </c>
      <c r="AH332" s="40" t="str">
        <f t="shared" si="1"/>
        <v>Bosch</v>
      </c>
      <c r="AI332" s="39" t="s">
        <v>82</v>
      </c>
    </row>
    <row r="333" ht="15.75" customHeight="1">
      <c r="A333" s="43" t="s">
        <v>77</v>
      </c>
      <c r="B333" s="43" t="s">
        <v>78</v>
      </c>
      <c r="C333" s="43" t="s">
        <v>387</v>
      </c>
      <c r="G333" s="44"/>
      <c r="H333" s="44"/>
      <c r="I333" s="44"/>
      <c r="J333" s="44"/>
      <c r="V333" s="43" t="s">
        <v>517</v>
      </c>
      <c r="Y333" s="29" t="s">
        <v>72</v>
      </c>
      <c r="AA333" s="37">
        <v>1650.5</v>
      </c>
      <c r="AB333" s="45">
        <v>2310.71</v>
      </c>
      <c r="AD333" s="43" t="s">
        <v>518</v>
      </c>
      <c r="AF333" s="46" t="s">
        <v>85</v>
      </c>
      <c r="AH333" s="40" t="str">
        <f t="shared" si="1"/>
        <v>Bosch</v>
      </c>
      <c r="AI333" s="39" t="s">
        <v>82</v>
      </c>
    </row>
    <row r="334" ht="15.75" customHeight="1">
      <c r="A334" s="43" t="s">
        <v>77</v>
      </c>
      <c r="B334" s="43" t="s">
        <v>78</v>
      </c>
      <c r="C334" s="43" t="s">
        <v>387</v>
      </c>
      <c r="G334" s="44"/>
      <c r="H334" s="44"/>
      <c r="I334" s="44"/>
      <c r="J334" s="44"/>
      <c r="V334" s="43" t="s">
        <v>519</v>
      </c>
      <c r="Y334" s="29" t="s">
        <v>72</v>
      </c>
      <c r="AA334" s="37">
        <v>1995.83</v>
      </c>
      <c r="AB334" s="45">
        <v>2794.16</v>
      </c>
      <c r="AD334" s="43" t="s">
        <v>520</v>
      </c>
      <c r="AF334" s="46" t="s">
        <v>85</v>
      </c>
      <c r="AH334" s="40" t="str">
        <f t="shared" si="1"/>
        <v>Bosch</v>
      </c>
      <c r="AI334" s="39" t="s">
        <v>82</v>
      </c>
    </row>
    <row r="335" ht="15.75" customHeight="1">
      <c r="A335" s="43" t="s">
        <v>77</v>
      </c>
      <c r="B335" s="43" t="s">
        <v>280</v>
      </c>
      <c r="C335" s="43" t="s">
        <v>387</v>
      </c>
      <c r="G335" s="44"/>
      <c r="H335" s="44"/>
      <c r="I335" s="44"/>
      <c r="J335" s="44"/>
      <c r="V335" s="43" t="s">
        <v>480</v>
      </c>
      <c r="Y335" s="29" t="s">
        <v>72</v>
      </c>
      <c r="AA335" s="37">
        <v>918.08</v>
      </c>
      <c r="AB335" s="45">
        <v>1285.31</v>
      </c>
      <c r="AD335" s="43" t="s">
        <v>481</v>
      </c>
      <c r="AF335" s="46" t="s">
        <v>85</v>
      </c>
      <c r="AH335" s="40" t="str">
        <f t="shared" si="1"/>
        <v>Bosch</v>
      </c>
      <c r="AI335" s="39" t="s">
        <v>82</v>
      </c>
    </row>
    <row r="336" ht="15.75" customHeight="1">
      <c r="A336" s="43" t="s">
        <v>77</v>
      </c>
      <c r="B336" s="43" t="s">
        <v>280</v>
      </c>
      <c r="C336" s="43" t="s">
        <v>387</v>
      </c>
      <c r="G336" s="44"/>
      <c r="H336" s="44"/>
      <c r="I336" s="44"/>
      <c r="J336" s="44"/>
      <c r="V336" s="43" t="s">
        <v>482</v>
      </c>
      <c r="Y336" s="29" t="s">
        <v>72</v>
      </c>
      <c r="AA336" s="37">
        <v>1001.21</v>
      </c>
      <c r="AB336" s="45">
        <v>1401.7</v>
      </c>
      <c r="AD336" s="43" t="s">
        <v>483</v>
      </c>
      <c r="AF336" s="46" t="s">
        <v>85</v>
      </c>
      <c r="AH336" s="40" t="str">
        <f t="shared" si="1"/>
        <v>Bosch</v>
      </c>
      <c r="AI336" s="39" t="s">
        <v>82</v>
      </c>
    </row>
    <row r="337" ht="15.75" customHeight="1">
      <c r="A337" s="43" t="s">
        <v>77</v>
      </c>
      <c r="B337" s="43" t="s">
        <v>280</v>
      </c>
      <c r="C337" s="43" t="s">
        <v>387</v>
      </c>
      <c r="G337" s="44"/>
      <c r="H337" s="44"/>
      <c r="I337" s="44"/>
      <c r="J337" s="44"/>
      <c r="V337" s="43" t="s">
        <v>484</v>
      </c>
      <c r="Y337" s="29" t="s">
        <v>72</v>
      </c>
      <c r="AA337" s="37">
        <v>1418.24</v>
      </c>
      <c r="AB337" s="45">
        <v>1985.53</v>
      </c>
      <c r="AD337" s="43" t="s">
        <v>485</v>
      </c>
      <c r="AF337" s="46" t="s">
        <v>85</v>
      </c>
      <c r="AH337" s="40" t="str">
        <f t="shared" si="1"/>
        <v>Bosch</v>
      </c>
      <c r="AI337" s="39" t="s">
        <v>82</v>
      </c>
    </row>
    <row r="338" ht="15.75" customHeight="1">
      <c r="A338" s="43" t="s">
        <v>77</v>
      </c>
      <c r="B338" s="43" t="s">
        <v>280</v>
      </c>
      <c r="C338" s="43" t="s">
        <v>387</v>
      </c>
      <c r="G338" s="44"/>
      <c r="H338" s="44"/>
      <c r="I338" s="44"/>
      <c r="J338" s="44"/>
      <c r="V338" s="43" t="s">
        <v>486</v>
      </c>
      <c r="Y338" s="29" t="s">
        <v>72</v>
      </c>
      <c r="AA338" s="37">
        <v>1543.17</v>
      </c>
      <c r="AB338" s="45">
        <v>2160.44</v>
      </c>
      <c r="AD338" s="43" t="s">
        <v>487</v>
      </c>
      <c r="AF338" s="46" t="s">
        <v>85</v>
      </c>
      <c r="AH338" s="40" t="str">
        <f t="shared" si="1"/>
        <v>Bosch</v>
      </c>
      <c r="AI338" s="39" t="s">
        <v>82</v>
      </c>
    </row>
    <row r="339" ht="15.75" customHeight="1">
      <c r="A339" s="43" t="s">
        <v>77</v>
      </c>
      <c r="B339" s="43" t="s">
        <v>78</v>
      </c>
      <c r="C339" s="43" t="s">
        <v>387</v>
      </c>
      <c r="G339" s="44"/>
      <c r="H339" s="44"/>
      <c r="I339" s="44"/>
      <c r="J339" s="44"/>
      <c r="V339" s="43" t="s">
        <v>521</v>
      </c>
      <c r="Y339" s="29" t="s">
        <v>72</v>
      </c>
      <c r="AA339" s="37">
        <v>844.61</v>
      </c>
      <c r="AB339" s="45">
        <v>1182.45</v>
      </c>
      <c r="AD339" s="43" t="s">
        <v>522</v>
      </c>
      <c r="AF339" s="46" t="s">
        <v>85</v>
      </c>
      <c r="AH339" s="40" t="str">
        <f t="shared" si="1"/>
        <v>Bosch</v>
      </c>
      <c r="AI339" s="39" t="s">
        <v>82</v>
      </c>
    </row>
    <row r="340" ht="15.75" customHeight="1">
      <c r="A340" s="43" t="s">
        <v>77</v>
      </c>
      <c r="B340" s="43" t="s">
        <v>78</v>
      </c>
      <c r="C340" s="43" t="s">
        <v>387</v>
      </c>
      <c r="G340" s="44"/>
      <c r="H340" s="44"/>
      <c r="I340" s="44"/>
      <c r="J340" s="44"/>
      <c r="V340" s="43" t="s">
        <v>523</v>
      </c>
      <c r="Y340" s="29" t="s">
        <v>72</v>
      </c>
      <c r="AA340" s="37">
        <v>866.17</v>
      </c>
      <c r="AB340" s="45">
        <v>1212.64</v>
      </c>
      <c r="AD340" s="43" t="s">
        <v>524</v>
      </c>
      <c r="AF340" s="46" t="s">
        <v>85</v>
      </c>
      <c r="AH340" s="40" t="str">
        <f t="shared" si="1"/>
        <v>Bosch</v>
      </c>
      <c r="AI340" s="39" t="s">
        <v>82</v>
      </c>
    </row>
    <row r="341" ht="15.75" customHeight="1">
      <c r="A341" s="43" t="s">
        <v>77</v>
      </c>
      <c r="B341" s="43" t="s">
        <v>78</v>
      </c>
      <c r="C341" s="43" t="s">
        <v>387</v>
      </c>
      <c r="G341" s="44"/>
      <c r="H341" s="44"/>
      <c r="I341" s="44"/>
      <c r="J341" s="44"/>
      <c r="V341" s="43" t="s">
        <v>525</v>
      </c>
      <c r="Y341" s="29" t="s">
        <v>72</v>
      </c>
      <c r="AA341" s="37">
        <v>1028.05</v>
      </c>
      <c r="AB341" s="45">
        <v>1439.27</v>
      </c>
      <c r="AD341" s="43" t="s">
        <v>526</v>
      </c>
      <c r="AF341" s="46" t="s">
        <v>85</v>
      </c>
      <c r="AH341" s="40" t="str">
        <f t="shared" si="1"/>
        <v>Bosch</v>
      </c>
      <c r="AI341" s="39" t="s">
        <v>82</v>
      </c>
    </row>
    <row r="342" ht="15.75" customHeight="1">
      <c r="A342" s="43" t="s">
        <v>77</v>
      </c>
      <c r="B342" s="43" t="s">
        <v>78</v>
      </c>
      <c r="C342" s="43" t="s">
        <v>387</v>
      </c>
      <c r="G342" s="44"/>
      <c r="H342" s="44"/>
      <c r="I342" s="44"/>
      <c r="J342" s="44"/>
      <c r="V342" s="43" t="s">
        <v>527</v>
      </c>
      <c r="Y342" s="29" t="s">
        <v>72</v>
      </c>
      <c r="AA342" s="37">
        <v>1294.63</v>
      </c>
      <c r="AB342" s="45">
        <v>1812.48</v>
      </c>
      <c r="AD342" s="43" t="s">
        <v>528</v>
      </c>
      <c r="AF342" s="46" t="s">
        <v>85</v>
      </c>
      <c r="AH342" s="40" t="str">
        <f t="shared" si="1"/>
        <v>Bosch</v>
      </c>
      <c r="AI342" s="39" t="s">
        <v>82</v>
      </c>
    </row>
    <row r="343" ht="15.75" customHeight="1">
      <c r="A343" s="43" t="s">
        <v>77</v>
      </c>
      <c r="B343" s="43" t="s">
        <v>78</v>
      </c>
      <c r="C343" s="43" t="s">
        <v>387</v>
      </c>
      <c r="G343" s="44"/>
      <c r="H343" s="44"/>
      <c r="I343" s="44"/>
      <c r="J343" s="44"/>
      <c r="V343" s="43" t="s">
        <v>529</v>
      </c>
      <c r="Y343" s="29" t="s">
        <v>72</v>
      </c>
      <c r="AA343" s="37">
        <v>1482.03</v>
      </c>
      <c r="AB343" s="45">
        <v>2074.84</v>
      </c>
      <c r="AD343" s="43" t="s">
        <v>530</v>
      </c>
      <c r="AF343" s="46" t="s">
        <v>85</v>
      </c>
      <c r="AH343" s="40" t="str">
        <f t="shared" si="1"/>
        <v>Bosch</v>
      </c>
      <c r="AI343" s="39" t="s">
        <v>82</v>
      </c>
    </row>
    <row r="344" ht="15.75" customHeight="1">
      <c r="A344" s="43" t="s">
        <v>77</v>
      </c>
      <c r="B344" s="43" t="s">
        <v>78</v>
      </c>
      <c r="C344" s="43" t="s">
        <v>387</v>
      </c>
      <c r="G344" s="44"/>
      <c r="H344" s="44"/>
      <c r="I344" s="44"/>
      <c r="J344" s="44"/>
      <c r="V344" s="43" t="s">
        <v>531</v>
      </c>
      <c r="Y344" s="29" t="s">
        <v>72</v>
      </c>
      <c r="AA344" s="37">
        <v>1723.09</v>
      </c>
      <c r="AB344" s="45">
        <v>2412.33</v>
      </c>
      <c r="AD344" s="43" t="s">
        <v>532</v>
      </c>
      <c r="AF344" s="46" t="s">
        <v>85</v>
      </c>
      <c r="AH344" s="40" t="str">
        <f t="shared" si="1"/>
        <v>Bosch</v>
      </c>
      <c r="AI344" s="39" t="s">
        <v>82</v>
      </c>
    </row>
    <row r="345" ht="15.75" customHeight="1">
      <c r="A345" s="43" t="s">
        <v>77</v>
      </c>
      <c r="B345" s="43" t="s">
        <v>78</v>
      </c>
      <c r="C345" s="43" t="s">
        <v>387</v>
      </c>
      <c r="G345" s="44"/>
      <c r="H345" s="44"/>
      <c r="I345" s="44"/>
      <c r="J345" s="44"/>
      <c r="V345" s="43" t="s">
        <v>533</v>
      </c>
      <c r="Y345" s="29" t="s">
        <v>72</v>
      </c>
      <c r="AA345" s="37">
        <v>2404.94</v>
      </c>
      <c r="AB345" s="45">
        <v>3366.91</v>
      </c>
      <c r="AD345" s="43" t="s">
        <v>534</v>
      </c>
      <c r="AF345" s="46" t="s">
        <v>85</v>
      </c>
      <c r="AH345" s="40" t="str">
        <f t="shared" si="1"/>
        <v>Bosch</v>
      </c>
      <c r="AI345" s="39" t="s">
        <v>82</v>
      </c>
    </row>
    <row r="346" ht="15.75" customHeight="1">
      <c r="A346" s="43" t="s">
        <v>77</v>
      </c>
      <c r="B346" s="43" t="s">
        <v>280</v>
      </c>
      <c r="C346" s="43" t="s">
        <v>387</v>
      </c>
      <c r="G346" s="44"/>
      <c r="H346" s="44"/>
      <c r="I346" s="44"/>
      <c r="J346" s="44"/>
      <c r="V346" s="43" t="s">
        <v>480</v>
      </c>
      <c r="Y346" s="29" t="s">
        <v>72</v>
      </c>
      <c r="AA346" s="37">
        <v>918.08</v>
      </c>
      <c r="AB346" s="45">
        <v>1285.31</v>
      </c>
      <c r="AD346" s="43" t="s">
        <v>481</v>
      </c>
      <c r="AF346" s="46" t="s">
        <v>85</v>
      </c>
      <c r="AH346" s="40" t="str">
        <f t="shared" si="1"/>
        <v>Bosch</v>
      </c>
      <c r="AI346" s="39" t="s">
        <v>82</v>
      </c>
    </row>
    <row r="347" ht="15.75" customHeight="1">
      <c r="A347" s="43" t="s">
        <v>77</v>
      </c>
      <c r="B347" s="43" t="s">
        <v>280</v>
      </c>
      <c r="C347" s="43" t="s">
        <v>387</v>
      </c>
      <c r="G347" s="44"/>
      <c r="H347" s="44"/>
      <c r="I347" s="44"/>
      <c r="J347" s="44"/>
      <c r="V347" s="43" t="s">
        <v>482</v>
      </c>
      <c r="Y347" s="29" t="s">
        <v>72</v>
      </c>
      <c r="AA347" s="37">
        <v>1001.21</v>
      </c>
      <c r="AB347" s="45">
        <v>1401.7</v>
      </c>
      <c r="AD347" s="43" t="s">
        <v>483</v>
      </c>
      <c r="AF347" s="46" t="s">
        <v>85</v>
      </c>
      <c r="AH347" s="40" t="str">
        <f t="shared" si="1"/>
        <v>Bosch</v>
      </c>
      <c r="AI347" s="39" t="s">
        <v>82</v>
      </c>
    </row>
    <row r="348" ht="15.75" customHeight="1">
      <c r="A348" s="43" t="s">
        <v>77</v>
      </c>
      <c r="B348" s="43" t="s">
        <v>280</v>
      </c>
      <c r="C348" s="43" t="s">
        <v>387</v>
      </c>
      <c r="G348" s="44"/>
      <c r="H348" s="44"/>
      <c r="I348" s="44"/>
      <c r="J348" s="44"/>
      <c r="V348" s="43" t="s">
        <v>484</v>
      </c>
      <c r="Y348" s="29" t="s">
        <v>72</v>
      </c>
      <c r="AA348" s="37">
        <v>1418.24</v>
      </c>
      <c r="AB348" s="45">
        <v>1985.53</v>
      </c>
      <c r="AD348" s="43" t="s">
        <v>485</v>
      </c>
      <c r="AF348" s="46" t="s">
        <v>85</v>
      </c>
      <c r="AH348" s="40" t="str">
        <f t="shared" si="1"/>
        <v>Bosch</v>
      </c>
      <c r="AI348" s="39" t="s">
        <v>82</v>
      </c>
    </row>
    <row r="349" ht="15.75" customHeight="1">
      <c r="A349" s="43" t="s">
        <v>77</v>
      </c>
      <c r="B349" s="43" t="s">
        <v>280</v>
      </c>
      <c r="C349" s="43" t="s">
        <v>387</v>
      </c>
      <c r="G349" s="44"/>
      <c r="H349" s="44"/>
      <c r="I349" s="44"/>
      <c r="J349" s="44"/>
      <c r="V349" s="43" t="s">
        <v>486</v>
      </c>
      <c r="Y349" s="29" t="s">
        <v>72</v>
      </c>
      <c r="AA349" s="37">
        <v>1543.17</v>
      </c>
      <c r="AB349" s="45">
        <v>2160.44</v>
      </c>
      <c r="AD349" s="43" t="s">
        <v>487</v>
      </c>
      <c r="AF349" s="46" t="s">
        <v>85</v>
      </c>
      <c r="AH349" s="40" t="str">
        <f t="shared" si="1"/>
        <v>Bosch</v>
      </c>
      <c r="AI349" s="39" t="s">
        <v>82</v>
      </c>
    </row>
    <row r="350" ht="15.75" customHeight="1">
      <c r="A350" s="43" t="s">
        <v>77</v>
      </c>
      <c r="B350" s="43" t="s">
        <v>280</v>
      </c>
      <c r="C350" s="43" t="s">
        <v>387</v>
      </c>
      <c r="G350" s="44"/>
      <c r="H350" s="44"/>
      <c r="I350" s="44"/>
      <c r="J350" s="44"/>
      <c r="V350" s="43" t="s">
        <v>490</v>
      </c>
      <c r="Y350" s="29" t="s">
        <v>72</v>
      </c>
      <c r="AA350" s="37">
        <v>3378.0</v>
      </c>
      <c r="AB350" s="45">
        <v>4729.2</v>
      </c>
      <c r="AD350" s="43" t="s">
        <v>535</v>
      </c>
      <c r="AF350" s="46" t="s">
        <v>85</v>
      </c>
      <c r="AH350" s="40" t="str">
        <f t="shared" si="1"/>
        <v>Bosch</v>
      </c>
      <c r="AI350" s="39" t="s">
        <v>82</v>
      </c>
    </row>
    <row r="351" ht="15.75" customHeight="1">
      <c r="A351" s="43" t="s">
        <v>77</v>
      </c>
      <c r="B351" s="43" t="s">
        <v>280</v>
      </c>
      <c r="C351" s="43" t="s">
        <v>387</v>
      </c>
      <c r="G351" s="44"/>
      <c r="H351" s="44"/>
      <c r="I351" s="44"/>
      <c r="J351" s="44"/>
      <c r="V351" s="43" t="s">
        <v>536</v>
      </c>
      <c r="Y351" s="29" t="s">
        <v>72</v>
      </c>
      <c r="AA351" s="37">
        <v>4367.33</v>
      </c>
      <c r="AB351" s="45">
        <v>6114.26</v>
      </c>
      <c r="AD351" s="43" t="s">
        <v>537</v>
      </c>
      <c r="AF351" s="46" t="s">
        <v>85</v>
      </c>
      <c r="AH351" s="40" t="str">
        <f t="shared" si="1"/>
        <v>Bosch</v>
      </c>
      <c r="AI351" s="39" t="s">
        <v>82</v>
      </c>
    </row>
    <row r="352" ht="15.75" customHeight="1">
      <c r="A352" s="43" t="s">
        <v>77</v>
      </c>
      <c r="B352" s="43" t="s">
        <v>280</v>
      </c>
      <c r="C352" s="43" t="s">
        <v>387</v>
      </c>
      <c r="G352" s="44"/>
      <c r="H352" s="44"/>
      <c r="I352" s="44"/>
      <c r="J352" s="44"/>
      <c r="V352" s="43" t="s">
        <v>538</v>
      </c>
      <c r="Y352" s="29" t="s">
        <v>72</v>
      </c>
      <c r="AA352" s="37">
        <v>4776.43</v>
      </c>
      <c r="AB352" s="45">
        <v>6687.01</v>
      </c>
      <c r="AD352" s="43" t="s">
        <v>539</v>
      </c>
      <c r="AF352" s="46" t="s">
        <v>85</v>
      </c>
      <c r="AH352" s="40" t="str">
        <f t="shared" si="1"/>
        <v>Bosch</v>
      </c>
      <c r="AI352" s="39" t="s">
        <v>82</v>
      </c>
    </row>
    <row r="353" ht="15.75" customHeight="1">
      <c r="A353" s="43" t="s">
        <v>77</v>
      </c>
      <c r="B353" s="43" t="s">
        <v>78</v>
      </c>
      <c r="C353" s="43" t="s">
        <v>387</v>
      </c>
      <c r="G353" s="44"/>
      <c r="H353" s="44"/>
      <c r="I353" s="44"/>
      <c r="J353" s="44"/>
      <c r="V353" s="43" t="s">
        <v>521</v>
      </c>
      <c r="Y353" s="29" t="s">
        <v>72</v>
      </c>
      <c r="AA353" s="37">
        <v>844.61</v>
      </c>
      <c r="AB353" s="45">
        <v>1182.45</v>
      </c>
      <c r="AD353" s="43" t="s">
        <v>522</v>
      </c>
      <c r="AF353" s="46" t="s">
        <v>85</v>
      </c>
      <c r="AH353" s="40" t="str">
        <f t="shared" si="1"/>
        <v>Bosch</v>
      </c>
      <c r="AI353" s="39" t="s">
        <v>82</v>
      </c>
    </row>
    <row r="354" ht="15.75" customHeight="1">
      <c r="A354" s="43" t="s">
        <v>77</v>
      </c>
      <c r="B354" s="43" t="s">
        <v>78</v>
      </c>
      <c r="C354" s="43" t="s">
        <v>387</v>
      </c>
      <c r="G354" s="44"/>
      <c r="H354" s="44"/>
      <c r="I354" s="44"/>
      <c r="J354" s="44"/>
      <c r="V354" s="43" t="s">
        <v>523</v>
      </c>
      <c r="Y354" s="29" t="s">
        <v>72</v>
      </c>
      <c r="AA354" s="37">
        <v>866.17</v>
      </c>
      <c r="AB354" s="45">
        <v>1212.64</v>
      </c>
      <c r="AD354" s="43" t="s">
        <v>524</v>
      </c>
      <c r="AF354" s="46" t="s">
        <v>85</v>
      </c>
      <c r="AH354" s="40" t="str">
        <f t="shared" si="1"/>
        <v>Bosch</v>
      </c>
      <c r="AI354" s="39" t="s">
        <v>82</v>
      </c>
    </row>
    <row r="355" ht="15.75" customHeight="1">
      <c r="A355" s="43" t="s">
        <v>77</v>
      </c>
      <c r="B355" s="43" t="s">
        <v>78</v>
      </c>
      <c r="C355" s="43" t="s">
        <v>387</v>
      </c>
      <c r="G355" s="44"/>
      <c r="H355" s="44"/>
      <c r="I355" s="44"/>
      <c r="J355" s="44"/>
      <c r="V355" s="43" t="s">
        <v>525</v>
      </c>
      <c r="Y355" s="29" t="s">
        <v>72</v>
      </c>
      <c r="AA355" s="37">
        <v>1028.05</v>
      </c>
      <c r="AB355" s="45">
        <v>1439.27</v>
      </c>
      <c r="AD355" s="43" t="s">
        <v>526</v>
      </c>
      <c r="AF355" s="46" t="s">
        <v>85</v>
      </c>
      <c r="AH355" s="40" t="str">
        <f t="shared" si="1"/>
        <v>Bosch</v>
      </c>
      <c r="AI355" s="39" t="s">
        <v>82</v>
      </c>
    </row>
    <row r="356" ht="15.75" customHeight="1">
      <c r="A356" s="43" t="s">
        <v>77</v>
      </c>
      <c r="B356" s="43" t="s">
        <v>78</v>
      </c>
      <c r="C356" s="43" t="s">
        <v>387</v>
      </c>
      <c r="G356" s="44"/>
      <c r="H356" s="44"/>
      <c r="I356" s="44"/>
      <c r="J356" s="44"/>
      <c r="V356" s="43" t="s">
        <v>527</v>
      </c>
      <c r="Y356" s="29" t="s">
        <v>72</v>
      </c>
      <c r="AA356" s="37">
        <v>1294.63</v>
      </c>
      <c r="AB356" s="45">
        <v>1812.48</v>
      </c>
      <c r="AD356" s="43" t="s">
        <v>528</v>
      </c>
      <c r="AF356" s="46" t="s">
        <v>85</v>
      </c>
      <c r="AH356" s="40" t="str">
        <f t="shared" si="1"/>
        <v>Bosch</v>
      </c>
      <c r="AI356" s="39" t="s">
        <v>82</v>
      </c>
    </row>
    <row r="357" ht="15.75" customHeight="1">
      <c r="A357" s="43" t="s">
        <v>77</v>
      </c>
      <c r="B357" s="43" t="s">
        <v>280</v>
      </c>
      <c r="C357" s="43" t="s">
        <v>387</v>
      </c>
      <c r="G357" s="44"/>
      <c r="H357" s="44"/>
      <c r="I357" s="44"/>
      <c r="J357" s="44"/>
      <c r="V357" s="43" t="s">
        <v>492</v>
      </c>
      <c r="Y357" s="29" t="s">
        <v>72</v>
      </c>
      <c r="AA357" s="37">
        <v>1287.15</v>
      </c>
      <c r="AB357" s="45">
        <v>1802.01</v>
      </c>
      <c r="AD357" s="43" t="s">
        <v>493</v>
      </c>
      <c r="AF357" s="46" t="s">
        <v>85</v>
      </c>
      <c r="AH357" s="40" t="str">
        <f t="shared" si="1"/>
        <v>Bosch</v>
      </c>
      <c r="AI357" s="39" t="s">
        <v>82</v>
      </c>
    </row>
    <row r="358" ht="15.75" customHeight="1">
      <c r="A358" s="43" t="s">
        <v>77</v>
      </c>
      <c r="B358" s="43" t="s">
        <v>280</v>
      </c>
      <c r="C358" s="43" t="s">
        <v>387</v>
      </c>
      <c r="G358" s="44"/>
      <c r="H358" s="44"/>
      <c r="I358" s="44"/>
      <c r="J358" s="44"/>
      <c r="V358" s="43" t="s">
        <v>494</v>
      </c>
      <c r="Y358" s="29" t="s">
        <v>72</v>
      </c>
      <c r="AA358" s="37">
        <v>1384.81</v>
      </c>
      <c r="AB358" s="45">
        <v>1938.73</v>
      </c>
      <c r="AD358" s="43" t="s">
        <v>495</v>
      </c>
      <c r="AF358" s="46" t="s">
        <v>85</v>
      </c>
      <c r="AH358" s="40" t="str">
        <f t="shared" si="1"/>
        <v>Bosch</v>
      </c>
      <c r="AI358" s="39" t="s">
        <v>82</v>
      </c>
    </row>
    <row r="359" ht="15.75" customHeight="1">
      <c r="A359" s="43" t="s">
        <v>77</v>
      </c>
      <c r="B359" s="43" t="s">
        <v>280</v>
      </c>
      <c r="C359" s="43" t="s">
        <v>387</v>
      </c>
      <c r="G359" s="44"/>
      <c r="H359" s="44"/>
      <c r="I359" s="44"/>
      <c r="J359" s="44"/>
      <c r="V359" s="43" t="s">
        <v>496</v>
      </c>
      <c r="Y359" s="29" t="s">
        <v>72</v>
      </c>
      <c r="AA359" s="37">
        <v>1791.72</v>
      </c>
      <c r="AB359" s="45">
        <v>2508.41</v>
      </c>
      <c r="AD359" s="43" t="s">
        <v>497</v>
      </c>
      <c r="AF359" s="46" t="s">
        <v>85</v>
      </c>
      <c r="AH359" s="40" t="str">
        <f t="shared" si="1"/>
        <v>Bosch</v>
      </c>
      <c r="AI359" s="39" t="s">
        <v>82</v>
      </c>
    </row>
    <row r="360" ht="15.75" customHeight="1">
      <c r="A360" s="43" t="s">
        <v>77</v>
      </c>
      <c r="B360" s="43" t="s">
        <v>280</v>
      </c>
      <c r="C360" s="43" t="s">
        <v>387</v>
      </c>
      <c r="G360" s="44"/>
      <c r="H360" s="44"/>
      <c r="I360" s="44"/>
      <c r="J360" s="44"/>
      <c r="V360" s="43" t="s">
        <v>498</v>
      </c>
      <c r="Y360" s="29" t="s">
        <v>72</v>
      </c>
      <c r="AA360" s="37">
        <v>2219.3</v>
      </c>
      <c r="AB360" s="45">
        <v>3107.02</v>
      </c>
      <c r="AD360" s="43" t="s">
        <v>499</v>
      </c>
      <c r="AF360" s="46" t="s">
        <v>85</v>
      </c>
      <c r="AH360" s="40" t="str">
        <f t="shared" si="1"/>
        <v>Bosch</v>
      </c>
      <c r="AI360" s="39" t="s">
        <v>82</v>
      </c>
    </row>
    <row r="361" ht="15.75" customHeight="1">
      <c r="A361" s="43" t="s">
        <v>77</v>
      </c>
      <c r="B361" s="43" t="s">
        <v>540</v>
      </c>
      <c r="C361" s="43" t="s">
        <v>387</v>
      </c>
      <c r="G361" s="44"/>
      <c r="H361" s="44"/>
      <c r="I361" s="44"/>
      <c r="J361" s="44"/>
      <c r="V361" s="43" t="s">
        <v>541</v>
      </c>
      <c r="Y361" s="29" t="s">
        <v>72</v>
      </c>
      <c r="AA361" s="37">
        <v>158.81</v>
      </c>
      <c r="AB361" s="45">
        <v>222.33</v>
      </c>
      <c r="AD361" s="43" t="s">
        <v>542</v>
      </c>
      <c r="AF361" s="46"/>
      <c r="AH361" s="40" t="str">
        <f t="shared" si="1"/>
        <v>Bosch</v>
      </c>
      <c r="AI361" s="39" t="s">
        <v>82</v>
      </c>
    </row>
    <row r="362" ht="15.75" customHeight="1">
      <c r="A362" s="43" t="s">
        <v>77</v>
      </c>
      <c r="B362" s="43" t="s">
        <v>540</v>
      </c>
      <c r="C362" s="43" t="s">
        <v>387</v>
      </c>
      <c r="G362" s="44"/>
      <c r="H362" s="44"/>
      <c r="I362" s="44"/>
      <c r="J362" s="44"/>
      <c r="V362" s="43" t="s">
        <v>543</v>
      </c>
      <c r="Y362" s="29" t="s">
        <v>72</v>
      </c>
      <c r="AA362" s="37">
        <v>279.78</v>
      </c>
      <c r="AB362" s="45">
        <v>391.69</v>
      </c>
      <c r="AD362" s="43" t="s">
        <v>544</v>
      </c>
      <c r="AF362" s="46"/>
      <c r="AH362" s="40" t="str">
        <f t="shared" si="1"/>
        <v>Bosch</v>
      </c>
      <c r="AI362" s="39" t="s">
        <v>82</v>
      </c>
    </row>
    <row r="363" ht="15.75" customHeight="1">
      <c r="A363" s="43" t="s">
        <v>77</v>
      </c>
      <c r="B363" s="43" t="s">
        <v>280</v>
      </c>
      <c r="C363" s="43" t="s">
        <v>387</v>
      </c>
      <c r="G363" s="44"/>
      <c r="H363" s="44"/>
      <c r="I363" s="44"/>
      <c r="J363" s="44"/>
      <c r="V363" s="43" t="s">
        <v>545</v>
      </c>
      <c r="Y363" s="29" t="s">
        <v>72</v>
      </c>
      <c r="AA363" s="37">
        <v>1482.91</v>
      </c>
      <c r="AB363" s="45">
        <v>2076.07</v>
      </c>
      <c r="AD363" s="43" t="s">
        <v>546</v>
      </c>
      <c r="AF363" s="46" t="s">
        <v>85</v>
      </c>
      <c r="AH363" s="40" t="str">
        <f t="shared" si="1"/>
        <v>Bosch</v>
      </c>
      <c r="AI363" s="39" t="s">
        <v>82</v>
      </c>
    </row>
    <row r="364" ht="15.75" customHeight="1">
      <c r="A364" s="43" t="s">
        <v>77</v>
      </c>
      <c r="B364" s="43" t="s">
        <v>280</v>
      </c>
      <c r="C364" s="43" t="s">
        <v>387</v>
      </c>
      <c r="G364" s="44"/>
      <c r="H364" s="44"/>
      <c r="I364" s="44"/>
      <c r="J364" s="44"/>
      <c r="V364" s="43" t="s">
        <v>547</v>
      </c>
      <c r="Y364" s="29" t="s">
        <v>72</v>
      </c>
      <c r="AA364" s="37">
        <v>1756.08</v>
      </c>
      <c r="AB364" s="45">
        <v>2458.51</v>
      </c>
      <c r="AD364" s="43" t="s">
        <v>548</v>
      </c>
      <c r="AF364" s="46" t="s">
        <v>85</v>
      </c>
      <c r="AH364" s="40" t="str">
        <f t="shared" si="1"/>
        <v>Bosch</v>
      </c>
      <c r="AI364" s="39" t="s">
        <v>82</v>
      </c>
    </row>
    <row r="365" ht="15.75" customHeight="1">
      <c r="A365" s="43" t="s">
        <v>77</v>
      </c>
      <c r="B365" s="43" t="s">
        <v>280</v>
      </c>
      <c r="C365" s="43" t="s">
        <v>387</v>
      </c>
      <c r="G365" s="44"/>
      <c r="H365" s="44"/>
      <c r="I365" s="44"/>
      <c r="J365" s="44"/>
      <c r="V365" s="43" t="s">
        <v>549</v>
      </c>
      <c r="Y365" s="29" t="s">
        <v>72</v>
      </c>
      <c r="AA365" s="37">
        <v>2872.55</v>
      </c>
      <c r="AB365" s="45">
        <v>4021.57</v>
      </c>
      <c r="AD365" s="43" t="s">
        <v>550</v>
      </c>
      <c r="AF365" s="46" t="s">
        <v>85</v>
      </c>
      <c r="AH365" s="40" t="str">
        <f t="shared" si="1"/>
        <v>Bosch</v>
      </c>
      <c r="AI365" s="39" t="s">
        <v>82</v>
      </c>
    </row>
    <row r="366" ht="15.75" customHeight="1">
      <c r="A366" s="43" t="s">
        <v>77</v>
      </c>
      <c r="B366" s="43" t="s">
        <v>280</v>
      </c>
      <c r="C366" s="43" t="s">
        <v>387</v>
      </c>
      <c r="G366" s="44"/>
      <c r="H366" s="44"/>
      <c r="I366" s="44"/>
      <c r="J366" s="44"/>
      <c r="V366" s="43" t="s">
        <v>551</v>
      </c>
      <c r="Y366" s="29" t="s">
        <v>72</v>
      </c>
      <c r="AA366" s="37">
        <v>3734.32</v>
      </c>
      <c r="AB366" s="45">
        <v>5228.04</v>
      </c>
      <c r="AD366" s="43" t="s">
        <v>552</v>
      </c>
      <c r="AF366" s="46" t="s">
        <v>85</v>
      </c>
      <c r="AH366" s="40" t="str">
        <f t="shared" si="1"/>
        <v>Bosch</v>
      </c>
      <c r="AI366" s="39" t="s">
        <v>82</v>
      </c>
    </row>
    <row r="367" ht="15.75" customHeight="1">
      <c r="A367" s="43" t="s">
        <v>77</v>
      </c>
      <c r="B367" s="43" t="s">
        <v>280</v>
      </c>
      <c r="C367" s="43" t="s">
        <v>387</v>
      </c>
      <c r="G367" s="44"/>
      <c r="H367" s="44"/>
      <c r="I367" s="44"/>
      <c r="J367" s="44"/>
      <c r="V367" s="43" t="s">
        <v>553</v>
      </c>
      <c r="Y367" s="29" t="s">
        <v>72</v>
      </c>
      <c r="AA367" s="37">
        <v>2696.15</v>
      </c>
      <c r="AB367" s="45">
        <v>3774.61</v>
      </c>
      <c r="AD367" s="43" t="s">
        <v>554</v>
      </c>
      <c r="AF367" s="46" t="s">
        <v>85</v>
      </c>
      <c r="AH367" s="40" t="str">
        <f t="shared" si="1"/>
        <v>Bosch</v>
      </c>
      <c r="AI367" s="39" t="s">
        <v>82</v>
      </c>
    </row>
    <row r="368" ht="15.75" customHeight="1">
      <c r="A368" s="43" t="s">
        <v>77</v>
      </c>
      <c r="B368" s="43" t="s">
        <v>280</v>
      </c>
      <c r="C368" s="43" t="s">
        <v>387</v>
      </c>
      <c r="G368" s="44"/>
      <c r="H368" s="44"/>
      <c r="I368" s="44"/>
      <c r="J368" s="44"/>
      <c r="V368" s="43" t="s">
        <v>555</v>
      </c>
      <c r="Y368" s="29" t="s">
        <v>72</v>
      </c>
      <c r="AA368" s="37">
        <v>3121.1</v>
      </c>
      <c r="AB368" s="45">
        <v>4369.53</v>
      </c>
      <c r="AD368" s="43" t="s">
        <v>556</v>
      </c>
      <c r="AF368" s="46" t="s">
        <v>85</v>
      </c>
      <c r="AH368" s="40" t="str">
        <f t="shared" si="1"/>
        <v>Bosch</v>
      </c>
      <c r="AI368" s="39" t="s">
        <v>82</v>
      </c>
    </row>
    <row r="369" ht="15.75" customHeight="1">
      <c r="A369" s="43" t="s">
        <v>77</v>
      </c>
      <c r="B369" s="43" t="s">
        <v>280</v>
      </c>
      <c r="C369" s="43" t="s">
        <v>387</v>
      </c>
      <c r="G369" s="44"/>
      <c r="H369" s="44"/>
      <c r="I369" s="44"/>
      <c r="J369" s="44"/>
      <c r="V369" s="43" t="s">
        <v>557</v>
      </c>
      <c r="Y369" s="29" t="s">
        <v>72</v>
      </c>
      <c r="AA369" s="37">
        <v>4336.1</v>
      </c>
      <c r="AB369" s="45">
        <v>6070.54</v>
      </c>
      <c r="AD369" s="43" t="s">
        <v>558</v>
      </c>
      <c r="AF369" s="46" t="s">
        <v>85</v>
      </c>
      <c r="AH369" s="40" t="str">
        <f t="shared" si="1"/>
        <v>Bosch</v>
      </c>
      <c r="AI369" s="39" t="s">
        <v>82</v>
      </c>
    </row>
    <row r="370" ht="15.75" customHeight="1">
      <c r="A370" s="43" t="s">
        <v>77</v>
      </c>
      <c r="B370" s="43" t="s">
        <v>280</v>
      </c>
      <c r="C370" s="43" t="s">
        <v>387</v>
      </c>
      <c r="G370" s="44"/>
      <c r="H370" s="44"/>
      <c r="I370" s="44"/>
      <c r="J370" s="44"/>
      <c r="V370" s="43" t="s">
        <v>559</v>
      </c>
      <c r="Y370" s="29" t="s">
        <v>72</v>
      </c>
      <c r="AA370" s="37">
        <v>4871.9</v>
      </c>
      <c r="AB370" s="45">
        <v>6820.66</v>
      </c>
      <c r="AD370" s="43" t="s">
        <v>560</v>
      </c>
      <c r="AF370" s="46" t="s">
        <v>85</v>
      </c>
      <c r="AH370" s="40" t="str">
        <f t="shared" si="1"/>
        <v>Bosch</v>
      </c>
      <c r="AI370" s="39" t="s">
        <v>82</v>
      </c>
    </row>
    <row r="371" ht="15.75" customHeight="1">
      <c r="A371" s="43" t="s">
        <v>77</v>
      </c>
      <c r="B371" s="43" t="s">
        <v>78</v>
      </c>
      <c r="C371" s="43" t="s">
        <v>387</v>
      </c>
      <c r="G371" s="44"/>
      <c r="H371" s="44"/>
      <c r="I371" s="44"/>
      <c r="J371" s="44"/>
      <c r="V371" s="43" t="s">
        <v>466</v>
      </c>
      <c r="Y371" s="29" t="s">
        <v>72</v>
      </c>
      <c r="AA371" s="37">
        <v>499.73</v>
      </c>
      <c r="AB371" s="45">
        <v>699.62</v>
      </c>
      <c r="AD371" s="43" t="s">
        <v>467</v>
      </c>
      <c r="AF371" s="46" t="s">
        <v>85</v>
      </c>
      <c r="AH371" s="40" t="str">
        <f t="shared" si="1"/>
        <v>Bosch</v>
      </c>
      <c r="AI371" s="39" t="s">
        <v>82</v>
      </c>
    </row>
    <row r="372" ht="15.75" customHeight="1">
      <c r="A372" s="43" t="s">
        <v>77</v>
      </c>
      <c r="B372" s="43" t="s">
        <v>78</v>
      </c>
      <c r="C372" s="43" t="s">
        <v>387</v>
      </c>
      <c r="G372" s="44"/>
      <c r="H372" s="44"/>
      <c r="I372" s="44"/>
      <c r="J372" s="44"/>
      <c r="V372" s="43" t="s">
        <v>468</v>
      </c>
      <c r="Y372" s="29" t="s">
        <v>72</v>
      </c>
      <c r="AA372" s="37">
        <v>584.63</v>
      </c>
      <c r="AB372" s="45">
        <v>818.49</v>
      </c>
      <c r="AD372" s="43" t="s">
        <v>469</v>
      </c>
      <c r="AF372" s="46" t="s">
        <v>85</v>
      </c>
      <c r="AH372" s="40" t="str">
        <f t="shared" si="1"/>
        <v>Bosch</v>
      </c>
      <c r="AI372" s="39" t="s">
        <v>82</v>
      </c>
    </row>
    <row r="373" ht="15.75" customHeight="1">
      <c r="A373" s="43" t="s">
        <v>77</v>
      </c>
      <c r="B373" s="43" t="s">
        <v>78</v>
      </c>
      <c r="C373" s="43" t="s">
        <v>387</v>
      </c>
      <c r="G373" s="44"/>
      <c r="H373" s="44"/>
      <c r="I373" s="44"/>
      <c r="J373" s="44"/>
      <c r="V373" s="43" t="s">
        <v>470</v>
      </c>
      <c r="Y373" s="29" t="s">
        <v>72</v>
      </c>
      <c r="AA373" s="37">
        <v>670.41</v>
      </c>
      <c r="AB373" s="45">
        <v>938.57</v>
      </c>
      <c r="AD373" s="43" t="s">
        <v>471</v>
      </c>
      <c r="AF373" s="46" t="s">
        <v>85</v>
      </c>
      <c r="AH373" s="40" t="str">
        <f t="shared" si="1"/>
        <v>Bosch</v>
      </c>
      <c r="AI373" s="39" t="s">
        <v>82</v>
      </c>
    </row>
    <row r="374" ht="15.75" customHeight="1">
      <c r="A374" s="43" t="s">
        <v>77</v>
      </c>
      <c r="B374" s="43" t="s">
        <v>78</v>
      </c>
      <c r="C374" s="43" t="s">
        <v>387</v>
      </c>
      <c r="G374" s="44"/>
      <c r="H374" s="44"/>
      <c r="I374" s="44"/>
      <c r="J374" s="44"/>
      <c r="V374" s="43" t="s">
        <v>472</v>
      </c>
      <c r="Y374" s="29" t="s">
        <v>72</v>
      </c>
      <c r="AA374" s="37">
        <v>846.81</v>
      </c>
      <c r="AB374" s="45">
        <v>1185.54</v>
      </c>
      <c r="AD374" s="43" t="s">
        <v>473</v>
      </c>
      <c r="AF374" s="46" t="s">
        <v>85</v>
      </c>
      <c r="AH374" s="40" t="str">
        <f t="shared" si="1"/>
        <v>Bosch</v>
      </c>
      <c r="AI374" s="39" t="s">
        <v>82</v>
      </c>
    </row>
    <row r="375" ht="15.75" customHeight="1">
      <c r="A375" s="43" t="s">
        <v>77</v>
      </c>
      <c r="B375" s="43" t="s">
        <v>78</v>
      </c>
      <c r="C375" s="43" t="s">
        <v>387</v>
      </c>
      <c r="G375" s="44"/>
      <c r="H375" s="44"/>
      <c r="I375" s="44"/>
      <c r="J375" s="44"/>
      <c r="V375" s="43" t="s">
        <v>474</v>
      </c>
      <c r="Y375" s="29" t="s">
        <v>72</v>
      </c>
      <c r="AA375" s="37">
        <v>994.62</v>
      </c>
      <c r="AB375" s="45">
        <v>1392.47</v>
      </c>
      <c r="AD375" s="43" t="s">
        <v>475</v>
      </c>
      <c r="AF375" s="46" t="s">
        <v>85</v>
      </c>
      <c r="AH375" s="40" t="str">
        <f t="shared" si="1"/>
        <v>Bosch</v>
      </c>
      <c r="AI375" s="39" t="s">
        <v>82</v>
      </c>
    </row>
    <row r="376" ht="15.75" customHeight="1">
      <c r="A376" s="43" t="s">
        <v>77</v>
      </c>
      <c r="B376" s="43" t="s">
        <v>78</v>
      </c>
      <c r="C376" s="43" t="s">
        <v>387</v>
      </c>
      <c r="G376" s="44"/>
      <c r="H376" s="44"/>
      <c r="I376" s="44"/>
      <c r="J376" s="44"/>
      <c r="V376" s="43" t="s">
        <v>476</v>
      </c>
      <c r="Y376" s="29" t="s">
        <v>72</v>
      </c>
      <c r="AA376" s="37">
        <v>1058.4</v>
      </c>
      <c r="AB376" s="45">
        <v>1481.76</v>
      </c>
      <c r="AD376" s="43" t="s">
        <v>477</v>
      </c>
      <c r="AF376" s="46" t="s">
        <v>85</v>
      </c>
      <c r="AH376" s="40" t="str">
        <f t="shared" si="1"/>
        <v>Bosch</v>
      </c>
      <c r="AI376" s="39" t="s">
        <v>82</v>
      </c>
    </row>
    <row r="377" ht="15.75" customHeight="1">
      <c r="A377" s="43" t="s">
        <v>77</v>
      </c>
      <c r="B377" s="43" t="s">
        <v>78</v>
      </c>
      <c r="C377" s="43" t="s">
        <v>387</v>
      </c>
      <c r="G377" s="44"/>
      <c r="H377" s="44"/>
      <c r="I377" s="44"/>
      <c r="J377" s="44"/>
      <c r="V377" s="43" t="s">
        <v>478</v>
      </c>
      <c r="Y377" s="29" t="s">
        <v>72</v>
      </c>
      <c r="AA377" s="37">
        <v>1119.11</v>
      </c>
      <c r="AB377" s="45">
        <v>1566.75</v>
      </c>
      <c r="AD377" s="43" t="s">
        <v>479</v>
      </c>
      <c r="AF377" s="46" t="s">
        <v>85</v>
      </c>
      <c r="AH377" s="40" t="str">
        <f t="shared" si="1"/>
        <v>Bosch</v>
      </c>
      <c r="AI377" s="39" t="s">
        <v>82</v>
      </c>
    </row>
    <row r="378" ht="15.75" customHeight="1">
      <c r="A378" s="43" t="s">
        <v>77</v>
      </c>
      <c r="B378" s="43" t="s">
        <v>78</v>
      </c>
      <c r="C378" s="43" t="s">
        <v>387</v>
      </c>
      <c r="G378" s="44"/>
      <c r="H378" s="44"/>
      <c r="I378" s="44"/>
      <c r="J378" s="44"/>
      <c r="V378" s="43" t="s">
        <v>509</v>
      </c>
      <c r="Y378" s="29" t="s">
        <v>72</v>
      </c>
      <c r="AA378" s="37">
        <v>819.54</v>
      </c>
      <c r="AB378" s="45">
        <v>1147.35</v>
      </c>
      <c r="AD378" s="43" t="s">
        <v>510</v>
      </c>
      <c r="AF378" s="46" t="s">
        <v>85</v>
      </c>
      <c r="AH378" s="40" t="str">
        <f t="shared" si="1"/>
        <v>Bosch</v>
      </c>
      <c r="AI378" s="39" t="s">
        <v>82</v>
      </c>
    </row>
    <row r="379" ht="15.75" customHeight="1">
      <c r="A379" s="43" t="s">
        <v>77</v>
      </c>
      <c r="B379" s="43" t="s">
        <v>78</v>
      </c>
      <c r="C379" s="43" t="s">
        <v>387</v>
      </c>
      <c r="G379" s="44"/>
      <c r="H379" s="44"/>
      <c r="I379" s="44"/>
      <c r="J379" s="44"/>
      <c r="V379" s="43" t="s">
        <v>511</v>
      </c>
      <c r="Y379" s="29" t="s">
        <v>72</v>
      </c>
      <c r="AA379" s="37">
        <v>930.39</v>
      </c>
      <c r="AB379" s="45">
        <v>1302.55</v>
      </c>
      <c r="AD379" s="43" t="s">
        <v>512</v>
      </c>
      <c r="AF379" s="46" t="s">
        <v>85</v>
      </c>
      <c r="AH379" s="40" t="str">
        <f t="shared" si="1"/>
        <v>Bosch</v>
      </c>
      <c r="AI379" s="39" t="s">
        <v>82</v>
      </c>
    </row>
    <row r="380" ht="15.75" customHeight="1">
      <c r="A380" s="43" t="s">
        <v>77</v>
      </c>
      <c r="B380" s="43" t="s">
        <v>78</v>
      </c>
      <c r="C380" s="43" t="s">
        <v>387</v>
      </c>
      <c r="G380" s="44"/>
      <c r="H380" s="44"/>
      <c r="I380" s="44"/>
      <c r="J380" s="44"/>
      <c r="V380" s="43" t="s">
        <v>513</v>
      </c>
      <c r="Y380" s="29" t="s">
        <v>72</v>
      </c>
      <c r="AA380" s="37">
        <v>1138.46</v>
      </c>
      <c r="AB380" s="45">
        <v>1593.85</v>
      </c>
      <c r="AD380" s="43" t="s">
        <v>514</v>
      </c>
      <c r="AF380" s="46" t="s">
        <v>85</v>
      </c>
      <c r="AH380" s="40" t="str">
        <f t="shared" si="1"/>
        <v>Bosch</v>
      </c>
      <c r="AI380" s="39" t="s">
        <v>82</v>
      </c>
    </row>
    <row r="381" ht="15.75" customHeight="1">
      <c r="A381" s="43" t="s">
        <v>77</v>
      </c>
      <c r="B381" s="43" t="s">
        <v>78</v>
      </c>
      <c r="C381" s="43" t="s">
        <v>387</v>
      </c>
      <c r="G381" s="44"/>
      <c r="H381" s="44"/>
      <c r="I381" s="44"/>
      <c r="J381" s="44"/>
      <c r="V381" s="43" t="s">
        <v>515</v>
      </c>
      <c r="Y381" s="29" t="s">
        <v>72</v>
      </c>
      <c r="AA381" s="37">
        <v>1459.59</v>
      </c>
      <c r="AB381" s="45">
        <v>2043.42</v>
      </c>
      <c r="AD381" s="43" t="s">
        <v>516</v>
      </c>
      <c r="AF381" s="46" t="s">
        <v>85</v>
      </c>
      <c r="AH381" s="40" t="str">
        <f t="shared" si="1"/>
        <v>Bosch</v>
      </c>
      <c r="AI381" s="39" t="s">
        <v>82</v>
      </c>
    </row>
    <row r="382" ht="15.75" customHeight="1">
      <c r="A382" s="43" t="s">
        <v>77</v>
      </c>
      <c r="B382" s="43" t="s">
        <v>78</v>
      </c>
      <c r="C382" s="43" t="s">
        <v>387</v>
      </c>
      <c r="G382" s="44"/>
      <c r="H382" s="44"/>
      <c r="I382" s="44"/>
      <c r="J382" s="44"/>
      <c r="V382" s="43" t="s">
        <v>503</v>
      </c>
      <c r="Y382" s="29" t="s">
        <v>72</v>
      </c>
      <c r="AA382" s="37">
        <v>1621.92</v>
      </c>
      <c r="AB382" s="45">
        <v>2270.68</v>
      </c>
      <c r="AD382" s="43" t="s">
        <v>504</v>
      </c>
      <c r="AF382" s="46" t="s">
        <v>85</v>
      </c>
      <c r="AH382" s="40" t="str">
        <f t="shared" si="1"/>
        <v>Bosch</v>
      </c>
      <c r="AI382" s="39" t="s">
        <v>82</v>
      </c>
    </row>
    <row r="383" ht="15.75" customHeight="1">
      <c r="A383" s="43" t="s">
        <v>77</v>
      </c>
      <c r="B383" s="43" t="s">
        <v>78</v>
      </c>
      <c r="C383" s="43" t="s">
        <v>387</v>
      </c>
      <c r="G383" s="44"/>
      <c r="H383" s="44"/>
      <c r="I383" s="44"/>
      <c r="J383" s="44"/>
      <c r="V383" s="43" t="s">
        <v>505</v>
      </c>
      <c r="Y383" s="29" t="s">
        <v>72</v>
      </c>
      <c r="AA383" s="37">
        <v>1663.7</v>
      </c>
      <c r="AB383" s="45">
        <v>2329.18</v>
      </c>
      <c r="AD383" s="43" t="s">
        <v>506</v>
      </c>
      <c r="AF383" s="46" t="s">
        <v>85</v>
      </c>
      <c r="AH383" s="40" t="str">
        <f t="shared" si="1"/>
        <v>Bosch</v>
      </c>
      <c r="AI383" s="39" t="s">
        <v>82</v>
      </c>
    </row>
    <row r="384" ht="15.75" customHeight="1">
      <c r="A384" s="43" t="s">
        <v>77</v>
      </c>
      <c r="B384" s="43" t="s">
        <v>78</v>
      </c>
      <c r="C384" s="43" t="s">
        <v>387</v>
      </c>
      <c r="G384" s="44"/>
      <c r="H384" s="44"/>
      <c r="I384" s="44"/>
      <c r="J384" s="44"/>
      <c r="V384" s="43" t="s">
        <v>507</v>
      </c>
      <c r="Y384" s="29" t="s">
        <v>72</v>
      </c>
      <c r="AA384" s="37">
        <v>1685.7</v>
      </c>
      <c r="AB384" s="45">
        <v>2359.98</v>
      </c>
      <c r="AD384" s="43" t="s">
        <v>508</v>
      </c>
      <c r="AF384" s="46" t="s">
        <v>85</v>
      </c>
      <c r="AH384" s="40" t="str">
        <f t="shared" si="1"/>
        <v>Bosch</v>
      </c>
      <c r="AI384" s="39" t="s">
        <v>82</v>
      </c>
    </row>
    <row r="385" ht="15.75" customHeight="1">
      <c r="A385" s="43" t="s">
        <v>77</v>
      </c>
      <c r="B385" s="43" t="s">
        <v>78</v>
      </c>
      <c r="C385" s="43" t="s">
        <v>387</v>
      </c>
      <c r="G385" s="44"/>
      <c r="H385" s="44"/>
      <c r="I385" s="44"/>
      <c r="J385" s="44"/>
      <c r="V385" s="43" t="s">
        <v>521</v>
      </c>
      <c r="Y385" s="29" t="s">
        <v>72</v>
      </c>
      <c r="AA385" s="37">
        <v>844.61</v>
      </c>
      <c r="AB385" s="45">
        <v>1182.45</v>
      </c>
      <c r="AD385" s="43" t="s">
        <v>522</v>
      </c>
      <c r="AF385" s="46" t="s">
        <v>85</v>
      </c>
      <c r="AH385" s="40" t="str">
        <f t="shared" si="1"/>
        <v>Bosch</v>
      </c>
      <c r="AI385" s="39" t="s">
        <v>82</v>
      </c>
    </row>
    <row r="386" ht="15.75" customHeight="1">
      <c r="A386" s="43" t="s">
        <v>77</v>
      </c>
      <c r="B386" s="43" t="s">
        <v>78</v>
      </c>
      <c r="C386" s="43" t="s">
        <v>387</v>
      </c>
      <c r="G386" s="44"/>
      <c r="H386" s="44"/>
      <c r="I386" s="44"/>
      <c r="J386" s="44"/>
      <c r="V386" s="43" t="s">
        <v>523</v>
      </c>
      <c r="Y386" s="29" t="s">
        <v>72</v>
      </c>
      <c r="AA386" s="37">
        <v>866.17</v>
      </c>
      <c r="AB386" s="45">
        <v>1212.64</v>
      </c>
      <c r="AD386" s="43" t="s">
        <v>524</v>
      </c>
      <c r="AF386" s="46" t="s">
        <v>85</v>
      </c>
      <c r="AH386" s="40" t="str">
        <f t="shared" si="1"/>
        <v>Bosch</v>
      </c>
      <c r="AI386" s="39" t="s">
        <v>82</v>
      </c>
    </row>
    <row r="387" ht="15.75" customHeight="1">
      <c r="A387" s="43" t="s">
        <v>77</v>
      </c>
      <c r="B387" s="43" t="s">
        <v>78</v>
      </c>
      <c r="C387" s="43" t="s">
        <v>387</v>
      </c>
      <c r="G387" s="44"/>
      <c r="H387" s="44"/>
      <c r="I387" s="44"/>
      <c r="J387" s="44"/>
      <c r="V387" s="43" t="s">
        <v>525</v>
      </c>
      <c r="Y387" s="29" t="s">
        <v>72</v>
      </c>
      <c r="AA387" s="37">
        <v>1028.05</v>
      </c>
      <c r="AB387" s="45">
        <v>1439.27</v>
      </c>
      <c r="AD387" s="43" t="s">
        <v>526</v>
      </c>
      <c r="AF387" s="46" t="s">
        <v>85</v>
      </c>
      <c r="AH387" s="40" t="str">
        <f t="shared" si="1"/>
        <v>Bosch</v>
      </c>
      <c r="AI387" s="39" t="s">
        <v>82</v>
      </c>
    </row>
    <row r="388" ht="15.75" customHeight="1">
      <c r="A388" s="43" t="s">
        <v>77</v>
      </c>
      <c r="B388" s="43" t="s">
        <v>78</v>
      </c>
      <c r="C388" s="43" t="s">
        <v>387</v>
      </c>
      <c r="G388" s="44"/>
      <c r="H388" s="44"/>
      <c r="I388" s="44"/>
      <c r="J388" s="44"/>
      <c r="V388" s="43" t="s">
        <v>527</v>
      </c>
      <c r="Y388" s="29" t="s">
        <v>72</v>
      </c>
      <c r="AA388" s="37">
        <v>1294.63</v>
      </c>
      <c r="AB388" s="45">
        <v>1812.48</v>
      </c>
      <c r="AD388" s="43" t="s">
        <v>528</v>
      </c>
      <c r="AF388" s="46" t="s">
        <v>85</v>
      </c>
      <c r="AH388" s="40" t="str">
        <f t="shared" si="1"/>
        <v>Bosch</v>
      </c>
      <c r="AI388" s="39" t="s">
        <v>82</v>
      </c>
    </row>
    <row r="389" ht="15.75" customHeight="1">
      <c r="A389" s="43" t="s">
        <v>77</v>
      </c>
      <c r="B389" s="43" t="s">
        <v>280</v>
      </c>
      <c r="C389" s="43" t="s">
        <v>561</v>
      </c>
      <c r="G389" s="44"/>
      <c r="H389" s="44"/>
      <c r="I389" s="44"/>
      <c r="J389" s="44"/>
      <c r="V389" s="43" t="s">
        <v>562</v>
      </c>
      <c r="Y389" s="29" t="s">
        <v>72</v>
      </c>
      <c r="AA389" s="37">
        <v>2152.14</v>
      </c>
      <c r="AB389" s="45">
        <v>3012.99</v>
      </c>
      <c r="AD389" s="43" t="s">
        <v>563</v>
      </c>
      <c r="AF389" s="46" t="s">
        <v>85</v>
      </c>
      <c r="AH389" s="40" t="str">
        <f t="shared" si="1"/>
        <v>Friedrich</v>
      </c>
      <c r="AI389" s="39" t="s">
        <v>82</v>
      </c>
    </row>
    <row r="390" ht="15.75" customHeight="1">
      <c r="A390" s="43" t="s">
        <v>77</v>
      </c>
      <c r="B390" s="43" t="s">
        <v>280</v>
      </c>
      <c r="C390" s="43" t="s">
        <v>561</v>
      </c>
      <c r="G390" s="44"/>
      <c r="H390" s="44"/>
      <c r="I390" s="44"/>
      <c r="J390" s="44"/>
      <c r="V390" s="43" t="s">
        <v>564</v>
      </c>
      <c r="Y390" s="29" t="s">
        <v>72</v>
      </c>
      <c r="AA390" s="37">
        <v>2428.36</v>
      </c>
      <c r="AB390" s="45">
        <v>3399.71</v>
      </c>
      <c r="AD390" s="43" t="s">
        <v>565</v>
      </c>
      <c r="AF390" s="46" t="s">
        <v>85</v>
      </c>
      <c r="AH390" s="40" t="str">
        <f t="shared" si="1"/>
        <v>Friedrich</v>
      </c>
      <c r="AI390" s="39" t="s">
        <v>82</v>
      </c>
    </row>
    <row r="391" ht="15.75" customHeight="1">
      <c r="A391" s="43" t="s">
        <v>77</v>
      </c>
      <c r="B391" s="43" t="s">
        <v>280</v>
      </c>
      <c r="C391" s="43" t="s">
        <v>561</v>
      </c>
      <c r="G391" s="44"/>
      <c r="H391" s="44"/>
      <c r="I391" s="44"/>
      <c r="J391" s="44"/>
      <c r="V391" s="43" t="s">
        <v>566</v>
      </c>
      <c r="Y391" s="29" t="s">
        <v>72</v>
      </c>
      <c r="AA391" s="37">
        <v>2783.51</v>
      </c>
      <c r="AB391" s="45">
        <v>3896.91</v>
      </c>
      <c r="AD391" s="43" t="s">
        <v>567</v>
      </c>
      <c r="AF391" s="46" t="s">
        <v>85</v>
      </c>
      <c r="AH391" s="40" t="str">
        <f t="shared" si="1"/>
        <v>Friedrich</v>
      </c>
      <c r="AI391" s="39" t="s">
        <v>82</v>
      </c>
    </row>
    <row r="392" ht="15.75" customHeight="1">
      <c r="A392" s="43" t="s">
        <v>77</v>
      </c>
      <c r="B392" s="43" t="s">
        <v>280</v>
      </c>
      <c r="C392" s="43" t="s">
        <v>561</v>
      </c>
      <c r="G392" s="44"/>
      <c r="H392" s="44"/>
      <c r="I392" s="44"/>
      <c r="J392" s="44"/>
      <c r="V392" s="43" t="s">
        <v>566</v>
      </c>
      <c r="Y392" s="29" t="s">
        <v>72</v>
      </c>
      <c r="AA392" s="37">
        <v>3036.97</v>
      </c>
      <c r="AB392" s="45">
        <v>4251.76</v>
      </c>
      <c r="AD392" s="43" t="s">
        <v>568</v>
      </c>
      <c r="AF392" s="46" t="s">
        <v>85</v>
      </c>
      <c r="AH392" s="40" t="str">
        <f t="shared" si="1"/>
        <v>Friedrich</v>
      </c>
      <c r="AI392" s="39" t="s">
        <v>82</v>
      </c>
    </row>
    <row r="393" ht="15.75" customHeight="1">
      <c r="A393" s="43" t="s">
        <v>77</v>
      </c>
      <c r="B393" s="43" t="s">
        <v>78</v>
      </c>
      <c r="C393" s="43" t="s">
        <v>561</v>
      </c>
      <c r="G393" s="44"/>
      <c r="H393" s="44"/>
      <c r="I393" s="44"/>
      <c r="J393" s="44"/>
      <c r="V393" s="43" t="s">
        <v>569</v>
      </c>
      <c r="Y393" s="29" t="s">
        <v>72</v>
      </c>
      <c r="AA393" s="37">
        <v>1070.0</v>
      </c>
      <c r="AB393" s="45">
        <v>1497.99</v>
      </c>
      <c r="AD393" s="43" t="s">
        <v>570</v>
      </c>
      <c r="AF393" s="46" t="s">
        <v>85</v>
      </c>
      <c r="AH393" s="40" t="str">
        <f t="shared" si="1"/>
        <v>Friedrich</v>
      </c>
      <c r="AI393" s="39" t="s">
        <v>82</v>
      </c>
    </row>
    <row r="394" ht="15.75" customHeight="1">
      <c r="A394" s="43" t="s">
        <v>77</v>
      </c>
      <c r="B394" s="43" t="s">
        <v>78</v>
      </c>
      <c r="C394" s="43" t="s">
        <v>561</v>
      </c>
      <c r="G394" s="44"/>
      <c r="H394" s="44"/>
      <c r="I394" s="44"/>
      <c r="J394" s="44"/>
      <c r="V394" s="43" t="s">
        <v>571</v>
      </c>
      <c r="Y394" s="29" t="s">
        <v>72</v>
      </c>
      <c r="AA394" s="37">
        <v>1239.99</v>
      </c>
      <c r="AB394" s="45">
        <v>1735.98</v>
      </c>
      <c r="AD394" s="43" t="s">
        <v>572</v>
      </c>
      <c r="AF394" s="46" t="s">
        <v>85</v>
      </c>
      <c r="AH394" s="40" t="str">
        <f t="shared" si="1"/>
        <v>Friedrich</v>
      </c>
      <c r="AI394" s="39" t="s">
        <v>82</v>
      </c>
    </row>
    <row r="395" ht="15.75" customHeight="1">
      <c r="A395" s="43" t="s">
        <v>77</v>
      </c>
      <c r="B395" s="43" t="s">
        <v>78</v>
      </c>
      <c r="C395" s="43" t="s">
        <v>561</v>
      </c>
      <c r="G395" s="44"/>
      <c r="H395" s="44"/>
      <c r="I395" s="44"/>
      <c r="J395" s="44"/>
      <c r="V395" s="43" t="s">
        <v>573</v>
      </c>
      <c r="Y395" s="29" t="s">
        <v>72</v>
      </c>
      <c r="AA395" s="37">
        <v>1504.07</v>
      </c>
      <c r="AB395" s="45">
        <v>2105.69</v>
      </c>
      <c r="AD395" s="43" t="s">
        <v>574</v>
      </c>
      <c r="AF395" s="46" t="s">
        <v>85</v>
      </c>
      <c r="AH395" s="40" t="str">
        <f t="shared" si="1"/>
        <v>Friedrich</v>
      </c>
      <c r="AI395" s="39" t="s">
        <v>82</v>
      </c>
    </row>
    <row r="396" ht="15.75" customHeight="1">
      <c r="A396" s="43" t="s">
        <v>77</v>
      </c>
      <c r="B396" s="43" t="s">
        <v>78</v>
      </c>
      <c r="C396" s="43" t="s">
        <v>561</v>
      </c>
      <c r="G396" s="44"/>
      <c r="H396" s="44"/>
      <c r="I396" s="44"/>
      <c r="J396" s="44"/>
      <c r="V396" s="43" t="s">
        <v>573</v>
      </c>
      <c r="Y396" s="29" t="s">
        <v>72</v>
      </c>
      <c r="AA396" s="37">
        <v>1868.32</v>
      </c>
      <c r="AB396" s="45">
        <v>2615.65</v>
      </c>
      <c r="AD396" s="43" t="s">
        <v>575</v>
      </c>
      <c r="AF396" s="46" t="s">
        <v>85</v>
      </c>
      <c r="AH396" s="40" t="str">
        <f t="shared" si="1"/>
        <v>Friedrich</v>
      </c>
      <c r="AI396" s="39" t="s">
        <v>82</v>
      </c>
    </row>
    <row r="397" ht="15.75" customHeight="1">
      <c r="A397" s="43" t="s">
        <v>77</v>
      </c>
      <c r="B397" s="43" t="s">
        <v>576</v>
      </c>
      <c r="C397" s="43" t="s">
        <v>561</v>
      </c>
      <c r="G397" s="44"/>
      <c r="H397" s="44"/>
      <c r="I397" s="44"/>
      <c r="J397" s="44"/>
      <c r="V397" s="43" t="s">
        <v>577</v>
      </c>
      <c r="Y397" s="29" t="s">
        <v>72</v>
      </c>
      <c r="AA397" s="37">
        <v>113.82</v>
      </c>
      <c r="AB397" s="45">
        <v>159.35</v>
      </c>
      <c r="AD397" s="43" t="s">
        <v>578</v>
      </c>
      <c r="AF397" s="46"/>
      <c r="AH397" s="40" t="str">
        <f t="shared" si="1"/>
        <v>Friedrich</v>
      </c>
      <c r="AI397" s="39" t="s">
        <v>82</v>
      </c>
    </row>
    <row r="398" ht="15.75" customHeight="1">
      <c r="A398" s="43" t="s">
        <v>77</v>
      </c>
      <c r="B398" s="43" t="s">
        <v>576</v>
      </c>
      <c r="C398" s="43" t="s">
        <v>561</v>
      </c>
      <c r="G398" s="44"/>
      <c r="H398" s="44"/>
      <c r="I398" s="44"/>
      <c r="J398" s="44"/>
      <c r="V398" s="43" t="s">
        <v>579</v>
      </c>
      <c r="Y398" s="29" t="s">
        <v>72</v>
      </c>
      <c r="AA398" s="37">
        <v>0.0</v>
      </c>
      <c r="AB398" s="45">
        <v>0.0</v>
      </c>
      <c r="AD398" s="43" t="s">
        <v>580</v>
      </c>
      <c r="AF398" s="46"/>
      <c r="AH398" s="40" t="str">
        <f t="shared" si="1"/>
        <v>Friedrich</v>
      </c>
      <c r="AI398" s="39" t="s">
        <v>82</v>
      </c>
    </row>
    <row r="399" ht="15.75" customHeight="1">
      <c r="A399" s="43" t="s">
        <v>77</v>
      </c>
      <c r="B399" s="43" t="s">
        <v>576</v>
      </c>
      <c r="C399" s="43" t="s">
        <v>561</v>
      </c>
      <c r="G399" s="44"/>
      <c r="H399" s="44"/>
      <c r="I399" s="44"/>
      <c r="J399" s="44"/>
      <c r="V399" s="43" t="s">
        <v>581</v>
      </c>
      <c r="Y399" s="29" t="s">
        <v>72</v>
      </c>
      <c r="AA399" s="37">
        <v>162.39</v>
      </c>
      <c r="AB399" s="45">
        <v>227.35</v>
      </c>
      <c r="AD399" s="43" t="s">
        <v>582</v>
      </c>
      <c r="AH399" s="40" t="str">
        <f t="shared" si="1"/>
        <v>Friedrich</v>
      </c>
      <c r="AI399" s="39" t="s">
        <v>82</v>
      </c>
    </row>
    <row r="400" ht="15.75" customHeight="1">
      <c r="A400" s="43" t="s">
        <v>77</v>
      </c>
      <c r="B400" s="43" t="s">
        <v>576</v>
      </c>
      <c r="C400" s="43" t="s">
        <v>561</v>
      </c>
      <c r="G400" s="44"/>
      <c r="H400" s="44"/>
      <c r="I400" s="44"/>
      <c r="J400" s="44"/>
      <c r="V400" s="43" t="s">
        <v>583</v>
      </c>
      <c r="Y400" s="29" t="s">
        <v>72</v>
      </c>
      <c r="AA400" s="37">
        <v>273.19</v>
      </c>
      <c r="AB400" s="45">
        <v>382.47</v>
      </c>
      <c r="AD400" s="43" t="s">
        <v>584</v>
      </c>
      <c r="AH400" s="40" t="str">
        <f t="shared" si="1"/>
        <v>Friedrich</v>
      </c>
      <c r="AI400" s="39" t="s">
        <v>82</v>
      </c>
    </row>
    <row r="401" ht="15.75" customHeight="1">
      <c r="A401" s="43" t="s">
        <v>77</v>
      </c>
      <c r="B401" s="43" t="s">
        <v>576</v>
      </c>
      <c r="C401" s="43" t="s">
        <v>561</v>
      </c>
      <c r="G401" s="44"/>
      <c r="H401" s="44"/>
      <c r="I401" s="44"/>
      <c r="J401" s="44"/>
      <c r="V401" s="43" t="s">
        <v>585</v>
      </c>
      <c r="Y401" s="29" t="s">
        <v>72</v>
      </c>
      <c r="AA401" s="37">
        <v>282.3</v>
      </c>
      <c r="AB401" s="45">
        <v>395.22</v>
      </c>
      <c r="AD401" s="43" t="s">
        <v>586</v>
      </c>
      <c r="AH401" s="40" t="str">
        <f t="shared" si="1"/>
        <v>Friedrich</v>
      </c>
      <c r="AI401" s="39" t="s">
        <v>82</v>
      </c>
    </row>
    <row r="402" ht="15.75" customHeight="1">
      <c r="A402" s="43" t="s">
        <v>77</v>
      </c>
      <c r="B402" s="43" t="s">
        <v>587</v>
      </c>
      <c r="C402" s="43" t="s">
        <v>588</v>
      </c>
      <c r="G402" s="44"/>
      <c r="H402" s="44"/>
      <c r="I402" s="44"/>
      <c r="J402" s="44"/>
      <c r="V402" s="43" t="s">
        <v>589</v>
      </c>
      <c r="Y402" s="29" t="s">
        <v>72</v>
      </c>
      <c r="AA402" s="37">
        <v>416.26</v>
      </c>
      <c r="AB402" s="45">
        <v>582.77</v>
      </c>
      <c r="AD402" s="43" t="s">
        <v>590</v>
      </c>
      <c r="AF402" s="46" t="s">
        <v>85</v>
      </c>
      <c r="AH402" s="40" t="str">
        <f t="shared" si="1"/>
        <v>RGF</v>
      </c>
      <c r="AI402" s="39" t="s">
        <v>82</v>
      </c>
    </row>
    <row r="403" ht="15.75" customHeight="1">
      <c r="A403" s="43" t="s">
        <v>77</v>
      </c>
      <c r="B403" s="43" t="s">
        <v>587</v>
      </c>
      <c r="C403" s="43" t="s">
        <v>588</v>
      </c>
      <c r="G403" s="44"/>
      <c r="H403" s="44"/>
      <c r="I403" s="44"/>
      <c r="J403" s="44"/>
      <c r="V403" s="43" t="s">
        <v>591</v>
      </c>
      <c r="Y403" s="29" t="s">
        <v>72</v>
      </c>
      <c r="AA403" s="37">
        <v>424.21</v>
      </c>
      <c r="AB403" s="45">
        <v>593.9</v>
      </c>
      <c r="AD403" s="43" t="s">
        <v>592</v>
      </c>
      <c r="AF403" s="46" t="s">
        <v>85</v>
      </c>
      <c r="AH403" s="40" t="str">
        <f t="shared" si="1"/>
        <v>RGF</v>
      </c>
      <c r="AI403" s="39" t="s">
        <v>82</v>
      </c>
    </row>
    <row r="404" ht="15.75" customHeight="1">
      <c r="A404" s="43" t="s">
        <v>77</v>
      </c>
      <c r="B404" s="43" t="s">
        <v>587</v>
      </c>
      <c r="C404" s="43" t="s">
        <v>588</v>
      </c>
      <c r="G404" s="44"/>
      <c r="H404" s="44"/>
      <c r="I404" s="44"/>
      <c r="J404" s="44"/>
      <c r="V404" s="43" t="s">
        <v>593</v>
      </c>
      <c r="Y404" s="29" t="s">
        <v>72</v>
      </c>
      <c r="AA404" s="37">
        <v>572.4</v>
      </c>
      <c r="AB404" s="45">
        <v>801.36</v>
      </c>
      <c r="AD404" s="43" t="s">
        <v>594</v>
      </c>
      <c r="AF404" s="46" t="s">
        <v>85</v>
      </c>
      <c r="AH404" s="40" t="str">
        <f t="shared" si="1"/>
        <v>RGF</v>
      </c>
      <c r="AI404" s="39" t="s">
        <v>82</v>
      </c>
    </row>
    <row r="405" ht="15.75" customHeight="1">
      <c r="A405" s="43" t="s">
        <v>77</v>
      </c>
      <c r="B405" s="43" t="s">
        <v>587</v>
      </c>
      <c r="C405" s="43" t="s">
        <v>588</v>
      </c>
      <c r="G405" s="44"/>
      <c r="H405" s="44"/>
      <c r="I405" s="44"/>
      <c r="J405" s="44"/>
      <c r="V405" s="43" t="s">
        <v>595</v>
      </c>
      <c r="Y405" s="29" t="s">
        <v>72</v>
      </c>
      <c r="AA405" s="37">
        <v>178.88</v>
      </c>
      <c r="AB405" s="45">
        <v>250.43</v>
      </c>
      <c r="AD405" s="43" t="s">
        <v>596</v>
      </c>
      <c r="AF405" s="46" t="s">
        <v>85</v>
      </c>
      <c r="AH405" s="40" t="str">
        <f t="shared" si="1"/>
        <v>RGF</v>
      </c>
      <c r="AI405" s="39" t="s">
        <v>82</v>
      </c>
    </row>
    <row r="406" ht="15.75" customHeight="1">
      <c r="A406" s="43" t="s">
        <v>77</v>
      </c>
      <c r="B406" s="43" t="s">
        <v>587</v>
      </c>
      <c r="C406" s="43" t="s">
        <v>588</v>
      </c>
      <c r="G406" s="44"/>
      <c r="H406" s="44"/>
      <c r="I406" s="44"/>
      <c r="J406" s="44"/>
      <c r="V406" s="43" t="s">
        <v>597</v>
      </c>
      <c r="Y406" s="29" t="s">
        <v>72</v>
      </c>
      <c r="AA406" s="37">
        <v>450.5</v>
      </c>
      <c r="AB406" s="45">
        <v>630.7</v>
      </c>
      <c r="AD406" s="43" t="s">
        <v>598</v>
      </c>
      <c r="AF406" s="46" t="s">
        <v>85</v>
      </c>
      <c r="AH406" s="40" t="str">
        <f t="shared" si="1"/>
        <v>RGF</v>
      </c>
      <c r="AI406" s="39" t="s">
        <v>82</v>
      </c>
    </row>
    <row r="407" ht="15.75" customHeight="1">
      <c r="A407" s="43" t="s">
        <v>77</v>
      </c>
      <c r="B407" s="43" t="s">
        <v>599</v>
      </c>
      <c r="C407" s="43" t="s">
        <v>600</v>
      </c>
      <c r="G407" s="44"/>
      <c r="H407" s="44"/>
      <c r="I407" s="44"/>
      <c r="J407" s="44"/>
      <c r="V407" s="43" t="s">
        <v>601</v>
      </c>
      <c r="Y407" s="29" t="s">
        <v>72</v>
      </c>
      <c r="AA407" s="37">
        <v>0.0</v>
      </c>
      <c r="AB407" s="45">
        <v>0.0</v>
      </c>
      <c r="AD407" s="43" t="s">
        <v>602</v>
      </c>
      <c r="AF407" s="46" t="s">
        <v>85</v>
      </c>
      <c r="AH407" s="40" t="str">
        <f t="shared" si="1"/>
        <v>Mortex</v>
      </c>
      <c r="AI407" s="39" t="s">
        <v>82</v>
      </c>
    </row>
    <row r="408" ht="15.75" customHeight="1">
      <c r="A408" s="43" t="s">
        <v>77</v>
      </c>
      <c r="B408" s="43" t="s">
        <v>599</v>
      </c>
      <c r="C408" s="43" t="s">
        <v>600</v>
      </c>
      <c r="G408" s="44"/>
      <c r="H408" s="44"/>
      <c r="I408" s="44"/>
      <c r="J408" s="44"/>
      <c r="V408" s="43" t="s">
        <v>603</v>
      </c>
      <c r="Y408" s="29" t="s">
        <v>72</v>
      </c>
      <c r="AA408" s="37">
        <v>0.0</v>
      </c>
      <c r="AB408" s="45">
        <v>0.0</v>
      </c>
      <c r="AD408" s="43" t="s">
        <v>604</v>
      </c>
      <c r="AH408" s="40" t="str">
        <f t="shared" si="1"/>
        <v>Mortex</v>
      </c>
      <c r="AI408" s="39" t="s">
        <v>82</v>
      </c>
    </row>
    <row r="409" ht="15.75" customHeight="1">
      <c r="A409" s="43" t="s">
        <v>77</v>
      </c>
      <c r="B409" s="43" t="s">
        <v>599</v>
      </c>
      <c r="C409" s="43" t="s">
        <v>600</v>
      </c>
      <c r="G409" s="44"/>
      <c r="H409" s="44"/>
      <c r="I409" s="44"/>
      <c r="J409" s="44"/>
      <c r="V409" s="43" t="s">
        <v>605</v>
      </c>
      <c r="Y409" s="29" t="s">
        <v>72</v>
      </c>
      <c r="AA409" s="37">
        <v>0.0</v>
      </c>
      <c r="AB409" s="45">
        <v>0.0</v>
      </c>
      <c r="AD409" s="43" t="s">
        <v>606</v>
      </c>
      <c r="AH409" s="40" t="str">
        <f t="shared" si="1"/>
        <v>Mortex</v>
      </c>
      <c r="AI409" s="39" t="s">
        <v>82</v>
      </c>
    </row>
    <row r="410" ht="15.75" customHeight="1">
      <c r="A410" s="43" t="s">
        <v>77</v>
      </c>
      <c r="B410" s="43" t="s">
        <v>599</v>
      </c>
      <c r="C410" s="43" t="s">
        <v>600</v>
      </c>
      <c r="G410" s="44"/>
      <c r="H410" s="44"/>
      <c r="I410" s="44"/>
      <c r="J410" s="44"/>
      <c r="V410" s="43" t="s">
        <v>607</v>
      </c>
      <c r="Y410" s="29" t="s">
        <v>72</v>
      </c>
      <c r="AA410" s="37">
        <v>0.0</v>
      </c>
      <c r="AB410" s="45">
        <v>0.0</v>
      </c>
      <c r="AD410" s="43" t="s">
        <v>608</v>
      </c>
      <c r="AH410" s="40" t="str">
        <f t="shared" si="1"/>
        <v>Mortex</v>
      </c>
      <c r="AI410" s="39" t="s">
        <v>82</v>
      </c>
    </row>
    <row r="411" ht="15.75" customHeight="1">
      <c r="A411" s="43" t="s">
        <v>77</v>
      </c>
      <c r="B411" s="43" t="s">
        <v>609</v>
      </c>
      <c r="C411" s="43" t="s">
        <v>600</v>
      </c>
      <c r="G411" s="44"/>
      <c r="H411" s="44"/>
      <c r="I411" s="44"/>
      <c r="J411" s="44"/>
      <c r="V411" s="43" t="s">
        <v>610</v>
      </c>
      <c r="Y411" s="29" t="s">
        <v>72</v>
      </c>
      <c r="AA411" s="37">
        <v>0.0</v>
      </c>
      <c r="AB411" s="45">
        <v>0.0</v>
      </c>
      <c r="AD411" s="43" t="s">
        <v>611</v>
      </c>
      <c r="AH411" s="40" t="str">
        <f t="shared" si="1"/>
        <v>Mortex</v>
      </c>
      <c r="AI411" s="39" t="s">
        <v>82</v>
      </c>
    </row>
    <row r="412" ht="15.75" customHeight="1">
      <c r="A412" s="43" t="s">
        <v>77</v>
      </c>
      <c r="B412" s="43" t="s">
        <v>609</v>
      </c>
      <c r="C412" s="43" t="s">
        <v>600</v>
      </c>
      <c r="G412" s="44"/>
      <c r="H412" s="44"/>
      <c r="I412" s="44"/>
      <c r="J412" s="44"/>
      <c r="V412" s="43" t="s">
        <v>612</v>
      </c>
      <c r="Y412" s="29" t="s">
        <v>72</v>
      </c>
      <c r="AA412" s="37">
        <v>0.0</v>
      </c>
      <c r="AB412" s="45">
        <v>0.0</v>
      </c>
      <c r="AD412" s="43" t="s">
        <v>613</v>
      </c>
      <c r="AH412" s="40" t="str">
        <f t="shared" si="1"/>
        <v>Mortex</v>
      </c>
      <c r="AI412" s="39" t="s">
        <v>82</v>
      </c>
    </row>
    <row r="413" ht="15.75" customHeight="1">
      <c r="A413" s="43" t="s">
        <v>77</v>
      </c>
      <c r="B413" s="43" t="s">
        <v>609</v>
      </c>
      <c r="C413" s="43" t="s">
        <v>600</v>
      </c>
      <c r="G413" s="44"/>
      <c r="H413" s="44"/>
      <c r="I413" s="44"/>
      <c r="J413" s="44"/>
      <c r="V413" s="43" t="s">
        <v>614</v>
      </c>
      <c r="Y413" s="29" t="s">
        <v>72</v>
      </c>
      <c r="AA413" s="37">
        <v>0.0</v>
      </c>
      <c r="AB413" s="45">
        <v>0.0</v>
      </c>
      <c r="AD413" s="43" t="s">
        <v>615</v>
      </c>
      <c r="AH413" s="40" t="str">
        <f t="shared" si="1"/>
        <v>Mortex</v>
      </c>
      <c r="AI413" s="39" t="s">
        <v>82</v>
      </c>
    </row>
    <row r="414" ht="15.75" customHeight="1">
      <c r="A414" s="43" t="s">
        <v>77</v>
      </c>
      <c r="B414" s="43" t="s">
        <v>609</v>
      </c>
      <c r="C414" s="43" t="s">
        <v>600</v>
      </c>
      <c r="G414" s="44"/>
      <c r="H414" s="44"/>
      <c r="I414" s="44"/>
      <c r="J414" s="44"/>
      <c r="V414" s="43" t="s">
        <v>616</v>
      </c>
      <c r="Y414" s="29" t="s">
        <v>72</v>
      </c>
      <c r="AA414" s="37">
        <v>0.0</v>
      </c>
      <c r="AB414" s="45">
        <v>0.0</v>
      </c>
      <c r="AD414" s="43" t="s">
        <v>617</v>
      </c>
      <c r="AH414" s="40" t="str">
        <f t="shared" si="1"/>
        <v>Mortex</v>
      </c>
      <c r="AI414" s="39" t="s">
        <v>82</v>
      </c>
    </row>
    <row r="415" ht="15.75" customHeight="1">
      <c r="A415" s="43" t="s">
        <v>77</v>
      </c>
      <c r="B415" s="43" t="s">
        <v>609</v>
      </c>
      <c r="C415" s="43" t="s">
        <v>600</v>
      </c>
      <c r="G415" s="44"/>
      <c r="H415" s="44"/>
      <c r="I415" s="44"/>
      <c r="J415" s="44"/>
      <c r="V415" s="43" t="s">
        <v>618</v>
      </c>
      <c r="Y415" s="29" t="s">
        <v>72</v>
      </c>
      <c r="AA415" s="37">
        <v>0.0</v>
      </c>
      <c r="AB415" s="45">
        <v>0.0</v>
      </c>
      <c r="AD415" s="43" t="s">
        <v>619</v>
      </c>
      <c r="AH415" s="40" t="str">
        <f t="shared" si="1"/>
        <v>Mortex</v>
      </c>
      <c r="AI415" s="39" t="s">
        <v>82</v>
      </c>
    </row>
    <row r="416" ht="15.75" customHeight="1">
      <c r="A416" s="43" t="s">
        <v>77</v>
      </c>
      <c r="B416" s="43" t="s">
        <v>609</v>
      </c>
      <c r="C416" s="43" t="s">
        <v>600</v>
      </c>
      <c r="G416" s="44"/>
      <c r="H416" s="44"/>
      <c r="I416" s="44"/>
      <c r="J416" s="44"/>
      <c r="V416" s="43" t="s">
        <v>620</v>
      </c>
      <c r="Y416" s="29" t="s">
        <v>72</v>
      </c>
      <c r="AA416" s="37">
        <v>2859.77</v>
      </c>
      <c r="AB416" s="45">
        <v>4003.68</v>
      </c>
      <c r="AD416" s="43" t="s">
        <v>621</v>
      </c>
      <c r="AH416" s="40" t="str">
        <f t="shared" si="1"/>
        <v>Mortex</v>
      </c>
      <c r="AI416" s="39" t="s">
        <v>82</v>
      </c>
    </row>
    <row r="417" ht="15.75" customHeight="1">
      <c r="A417" s="43" t="s">
        <v>77</v>
      </c>
      <c r="B417" s="43" t="s">
        <v>609</v>
      </c>
      <c r="C417" s="43" t="s">
        <v>600</v>
      </c>
      <c r="G417" s="44"/>
      <c r="H417" s="44"/>
      <c r="I417" s="44"/>
      <c r="J417" s="44"/>
      <c r="V417" s="43" t="s">
        <v>622</v>
      </c>
      <c r="Y417" s="29" t="s">
        <v>72</v>
      </c>
      <c r="AA417" s="37">
        <v>2860.83</v>
      </c>
      <c r="AB417" s="45">
        <v>4005.17</v>
      </c>
      <c r="AD417" s="43" t="s">
        <v>623</v>
      </c>
      <c r="AH417" s="40" t="str">
        <f t="shared" si="1"/>
        <v>Mortex</v>
      </c>
      <c r="AI417" s="39" t="s">
        <v>82</v>
      </c>
    </row>
    <row r="418" ht="15.75" customHeight="1">
      <c r="A418" s="43" t="s">
        <v>77</v>
      </c>
      <c r="B418" s="43" t="s">
        <v>609</v>
      </c>
      <c r="C418" s="43" t="s">
        <v>600</v>
      </c>
      <c r="G418" s="44"/>
      <c r="H418" s="44"/>
      <c r="I418" s="44"/>
      <c r="J418" s="44"/>
      <c r="V418" s="43" t="s">
        <v>624</v>
      </c>
      <c r="Y418" s="29" t="s">
        <v>72</v>
      </c>
      <c r="AA418" s="37">
        <v>2861.89</v>
      </c>
      <c r="AB418" s="45">
        <v>4006.65</v>
      </c>
      <c r="AD418" s="43" t="s">
        <v>625</v>
      </c>
      <c r="AH418" s="40" t="str">
        <f t="shared" si="1"/>
        <v>Mortex</v>
      </c>
      <c r="AI418" s="39" t="s">
        <v>82</v>
      </c>
    </row>
    <row r="419" ht="15.75" customHeight="1">
      <c r="A419" s="43" t="s">
        <v>77</v>
      </c>
      <c r="B419" s="43" t="s">
        <v>609</v>
      </c>
      <c r="C419" s="43" t="s">
        <v>600</v>
      </c>
      <c r="G419" s="44"/>
      <c r="H419" s="44"/>
      <c r="I419" s="44"/>
      <c r="J419" s="44"/>
      <c r="V419" s="43" t="s">
        <v>626</v>
      </c>
      <c r="Y419" s="29" t="s">
        <v>72</v>
      </c>
      <c r="AA419" s="37">
        <v>2862.95</v>
      </c>
      <c r="AB419" s="45">
        <v>4008.14</v>
      </c>
      <c r="AD419" s="43" t="s">
        <v>627</v>
      </c>
      <c r="AH419" s="40" t="str">
        <f t="shared" si="1"/>
        <v>Mortex</v>
      </c>
      <c r="AI419" s="39" t="s">
        <v>82</v>
      </c>
    </row>
    <row r="420" ht="15.75" customHeight="1">
      <c r="A420" s="43" t="s">
        <v>77</v>
      </c>
      <c r="B420" s="43" t="s">
        <v>609</v>
      </c>
      <c r="C420" s="43" t="s">
        <v>600</v>
      </c>
      <c r="G420" s="44"/>
      <c r="H420" s="44"/>
      <c r="I420" s="44"/>
      <c r="J420" s="44"/>
      <c r="V420" s="43" t="s">
        <v>628</v>
      </c>
      <c r="Y420" s="29" t="s">
        <v>72</v>
      </c>
      <c r="AA420" s="37">
        <v>0.0</v>
      </c>
      <c r="AB420" s="45">
        <v>0.0</v>
      </c>
      <c r="AD420" s="43" t="s">
        <v>629</v>
      </c>
      <c r="AH420" s="40" t="str">
        <f t="shared" si="1"/>
        <v>Mortex</v>
      </c>
      <c r="AI420" s="39" t="s">
        <v>82</v>
      </c>
    </row>
    <row r="421" ht="15.75" customHeight="1">
      <c r="A421" s="43" t="s">
        <v>77</v>
      </c>
      <c r="B421" s="43" t="s">
        <v>609</v>
      </c>
      <c r="C421" s="43" t="s">
        <v>600</v>
      </c>
      <c r="G421" s="44"/>
      <c r="H421" s="44"/>
      <c r="I421" s="44"/>
      <c r="J421" s="44"/>
      <c r="V421" s="43" t="s">
        <v>630</v>
      </c>
      <c r="Y421" s="29" t="s">
        <v>72</v>
      </c>
      <c r="AA421" s="37">
        <v>0.0</v>
      </c>
      <c r="AB421" s="45">
        <v>0.0</v>
      </c>
      <c r="AD421" s="43" t="s">
        <v>631</v>
      </c>
      <c r="AH421" s="40" t="str">
        <f t="shared" si="1"/>
        <v>Mortex</v>
      </c>
      <c r="AI421" s="39" t="s">
        <v>82</v>
      </c>
    </row>
    <row r="422" ht="15.75" customHeight="1">
      <c r="A422" s="43" t="s">
        <v>77</v>
      </c>
      <c r="B422" s="43" t="s">
        <v>609</v>
      </c>
      <c r="C422" s="43" t="s">
        <v>600</v>
      </c>
      <c r="G422" s="44"/>
      <c r="H422" s="44"/>
      <c r="I422" s="44"/>
      <c r="J422" s="44"/>
      <c r="V422" s="43" t="s">
        <v>632</v>
      </c>
      <c r="Y422" s="29" t="s">
        <v>72</v>
      </c>
      <c r="AA422" s="37">
        <v>0.0</v>
      </c>
      <c r="AB422" s="45">
        <v>0.0</v>
      </c>
      <c r="AD422" s="43" t="s">
        <v>633</v>
      </c>
      <c r="AH422" s="40" t="str">
        <f t="shared" si="1"/>
        <v>Mortex</v>
      </c>
      <c r="AI422" s="39" t="s">
        <v>82</v>
      </c>
    </row>
    <row r="423" ht="15.75" customHeight="1">
      <c r="A423" s="43" t="s">
        <v>77</v>
      </c>
      <c r="B423" s="43" t="s">
        <v>609</v>
      </c>
      <c r="C423" s="43" t="s">
        <v>600</v>
      </c>
      <c r="G423" s="44"/>
      <c r="H423" s="44"/>
      <c r="I423" s="44"/>
      <c r="J423" s="44"/>
      <c r="V423" s="43" t="s">
        <v>632</v>
      </c>
      <c r="Y423" s="29" t="s">
        <v>72</v>
      </c>
      <c r="AA423" s="37">
        <v>0.0</v>
      </c>
      <c r="AB423" s="45">
        <v>0.0</v>
      </c>
      <c r="AD423" s="43" t="s">
        <v>634</v>
      </c>
      <c r="AH423" s="40" t="str">
        <f t="shared" si="1"/>
        <v>Mortex</v>
      </c>
      <c r="AI423" s="39" t="s">
        <v>82</v>
      </c>
    </row>
    <row r="424" ht="15.75" customHeight="1">
      <c r="A424" s="43" t="s">
        <v>77</v>
      </c>
      <c r="B424" s="43" t="s">
        <v>599</v>
      </c>
      <c r="C424" s="43" t="s">
        <v>600</v>
      </c>
      <c r="G424" s="44"/>
      <c r="H424" s="44"/>
      <c r="I424" s="44"/>
      <c r="J424" s="44"/>
      <c r="V424" s="43" t="s">
        <v>635</v>
      </c>
      <c r="Y424" s="29" t="s">
        <v>72</v>
      </c>
      <c r="AA424" s="37">
        <v>0.0</v>
      </c>
      <c r="AB424" s="45">
        <v>0.0</v>
      </c>
      <c r="AD424" s="43" t="s">
        <v>636</v>
      </c>
      <c r="AH424" s="40" t="str">
        <f t="shared" si="1"/>
        <v>Mortex</v>
      </c>
      <c r="AI424" s="39" t="s">
        <v>82</v>
      </c>
    </row>
    <row r="425" ht="15.75" customHeight="1">
      <c r="A425" s="43" t="s">
        <v>77</v>
      </c>
      <c r="B425" s="43" t="s">
        <v>599</v>
      </c>
      <c r="C425" s="43" t="s">
        <v>600</v>
      </c>
      <c r="G425" s="44"/>
      <c r="H425" s="44"/>
      <c r="I425" s="44"/>
      <c r="J425" s="44"/>
      <c r="V425" s="43" t="s">
        <v>635</v>
      </c>
      <c r="Y425" s="29" t="s">
        <v>72</v>
      </c>
      <c r="AA425" s="37">
        <v>0.0</v>
      </c>
      <c r="AB425" s="45">
        <v>0.0</v>
      </c>
      <c r="AD425" s="43" t="s">
        <v>637</v>
      </c>
      <c r="AH425" s="40" t="str">
        <f t="shared" si="1"/>
        <v>Mortex</v>
      </c>
      <c r="AI425" s="39" t="s">
        <v>82</v>
      </c>
    </row>
    <row r="426" ht="15.75" customHeight="1">
      <c r="A426" s="43" t="s">
        <v>77</v>
      </c>
      <c r="B426" s="43" t="s">
        <v>599</v>
      </c>
      <c r="C426" s="43" t="s">
        <v>600</v>
      </c>
      <c r="G426" s="44"/>
      <c r="H426" s="44"/>
      <c r="I426" s="44"/>
      <c r="J426" s="44"/>
      <c r="V426" s="43" t="s">
        <v>635</v>
      </c>
      <c r="Y426" s="29" t="s">
        <v>72</v>
      </c>
      <c r="AA426" s="37">
        <v>0.0</v>
      </c>
      <c r="AB426" s="45">
        <v>0.0</v>
      </c>
      <c r="AD426" s="43" t="s">
        <v>638</v>
      </c>
      <c r="AH426" s="40" t="str">
        <f t="shared" si="1"/>
        <v>Mortex</v>
      </c>
      <c r="AI426" s="39" t="s">
        <v>82</v>
      </c>
    </row>
    <row r="427" ht="15.75" customHeight="1">
      <c r="A427" s="43" t="s">
        <v>77</v>
      </c>
      <c r="B427" s="43" t="s">
        <v>599</v>
      </c>
      <c r="C427" s="43" t="s">
        <v>600</v>
      </c>
      <c r="G427" s="44"/>
      <c r="H427" s="44"/>
      <c r="I427" s="44"/>
      <c r="J427" s="44"/>
      <c r="V427" s="43" t="s">
        <v>635</v>
      </c>
      <c r="Y427" s="29" t="s">
        <v>72</v>
      </c>
      <c r="AA427" s="37">
        <v>0.0</v>
      </c>
      <c r="AB427" s="45">
        <v>0.0</v>
      </c>
      <c r="AD427" s="43" t="s">
        <v>639</v>
      </c>
      <c r="AH427" s="40" t="str">
        <f t="shared" si="1"/>
        <v>Mortex</v>
      </c>
      <c r="AI427" s="39" t="s">
        <v>82</v>
      </c>
    </row>
    <row r="428" ht="15.75" customHeight="1">
      <c r="A428" s="43" t="s">
        <v>77</v>
      </c>
      <c r="B428" s="43" t="s">
        <v>599</v>
      </c>
      <c r="C428" s="43" t="s">
        <v>600</v>
      </c>
      <c r="G428" s="44"/>
      <c r="H428" s="44"/>
      <c r="I428" s="44"/>
      <c r="J428" s="44"/>
      <c r="V428" s="43" t="s">
        <v>635</v>
      </c>
      <c r="Y428" s="29" t="s">
        <v>72</v>
      </c>
      <c r="AA428" s="37">
        <v>0.0</v>
      </c>
      <c r="AB428" s="45">
        <v>0.0</v>
      </c>
      <c r="AD428" s="43" t="s">
        <v>640</v>
      </c>
      <c r="AH428" s="40" t="str">
        <f t="shared" si="1"/>
        <v>Mortex</v>
      </c>
      <c r="AI428" s="39" t="s">
        <v>82</v>
      </c>
    </row>
    <row r="429" ht="15.75" customHeight="1">
      <c r="A429" s="43" t="s">
        <v>77</v>
      </c>
      <c r="B429" s="43" t="s">
        <v>599</v>
      </c>
      <c r="C429" s="43" t="s">
        <v>600</v>
      </c>
      <c r="G429" s="44"/>
      <c r="H429" s="44"/>
      <c r="I429" s="44"/>
      <c r="J429" s="44"/>
      <c r="V429" s="43" t="s">
        <v>635</v>
      </c>
      <c r="Y429" s="29" t="s">
        <v>72</v>
      </c>
      <c r="AA429" s="37">
        <v>0.0</v>
      </c>
      <c r="AB429" s="45">
        <v>0.0</v>
      </c>
      <c r="AD429" s="43" t="s">
        <v>641</v>
      </c>
      <c r="AH429" s="40" t="str">
        <f t="shared" si="1"/>
        <v>Mortex</v>
      </c>
      <c r="AI429" s="39" t="s">
        <v>82</v>
      </c>
    </row>
    <row r="430" ht="15.75" customHeight="1">
      <c r="A430" s="43" t="s">
        <v>77</v>
      </c>
      <c r="B430" s="43" t="s">
        <v>642</v>
      </c>
      <c r="C430" s="43" t="s">
        <v>643</v>
      </c>
      <c r="G430" s="44"/>
      <c r="H430" s="44"/>
      <c r="I430" s="44"/>
      <c r="J430" s="44"/>
      <c r="V430" s="43" t="s">
        <v>644</v>
      </c>
      <c r="Y430" s="29" t="s">
        <v>72</v>
      </c>
      <c r="AA430" s="37">
        <v>941.77</v>
      </c>
      <c r="AB430" s="45">
        <v>1318.47</v>
      </c>
      <c r="AD430" s="43" t="s">
        <v>645</v>
      </c>
      <c r="AF430" s="46" t="s">
        <v>85</v>
      </c>
      <c r="AH430" s="40" t="str">
        <f t="shared" si="1"/>
        <v>Modine</v>
      </c>
      <c r="AI430" s="39" t="s">
        <v>82</v>
      </c>
    </row>
    <row r="431" ht="15.75" customHeight="1">
      <c r="A431" s="43" t="s">
        <v>77</v>
      </c>
      <c r="B431" s="43" t="s">
        <v>642</v>
      </c>
      <c r="C431" s="43" t="s">
        <v>643</v>
      </c>
      <c r="G431" s="44"/>
      <c r="H431" s="44"/>
      <c r="I431" s="44"/>
      <c r="J431" s="44"/>
      <c r="V431" s="43" t="s">
        <v>646</v>
      </c>
      <c r="Y431" s="29" t="s">
        <v>72</v>
      </c>
      <c r="AA431" s="37">
        <v>977.91</v>
      </c>
      <c r="AB431" s="45">
        <v>1369.08</v>
      </c>
      <c r="AD431" s="43" t="s">
        <v>647</v>
      </c>
      <c r="AF431" s="46" t="s">
        <v>85</v>
      </c>
      <c r="AH431" s="40" t="str">
        <f t="shared" si="1"/>
        <v>Modine</v>
      </c>
      <c r="AI431" s="39" t="s">
        <v>82</v>
      </c>
    </row>
    <row r="432" ht="15.75" customHeight="1">
      <c r="A432" s="43" t="s">
        <v>77</v>
      </c>
      <c r="B432" s="43" t="s">
        <v>642</v>
      </c>
      <c r="C432" s="43" t="s">
        <v>643</v>
      </c>
      <c r="G432" s="44"/>
      <c r="H432" s="44"/>
      <c r="I432" s="44"/>
      <c r="J432" s="44"/>
      <c r="V432" s="43" t="s">
        <v>648</v>
      </c>
      <c r="Y432" s="29" t="s">
        <v>72</v>
      </c>
      <c r="AA432" s="37">
        <v>1119.21</v>
      </c>
      <c r="AB432" s="45">
        <v>1566.9</v>
      </c>
      <c r="AD432" s="43" t="s">
        <v>649</v>
      </c>
      <c r="AF432" s="46" t="s">
        <v>85</v>
      </c>
      <c r="AH432" s="40" t="str">
        <f t="shared" si="1"/>
        <v>Modine</v>
      </c>
      <c r="AI432" s="39" t="s">
        <v>82</v>
      </c>
    </row>
    <row r="433" ht="15.75" customHeight="1">
      <c r="A433" s="43" t="s">
        <v>77</v>
      </c>
      <c r="B433" s="43" t="s">
        <v>642</v>
      </c>
      <c r="C433" s="43" t="s">
        <v>643</v>
      </c>
      <c r="G433" s="44"/>
      <c r="H433" s="44"/>
      <c r="I433" s="44"/>
      <c r="J433" s="44"/>
      <c r="V433" s="43" t="s">
        <v>650</v>
      </c>
      <c r="Y433" s="29" t="s">
        <v>72</v>
      </c>
      <c r="AA433" s="37">
        <v>1152.07</v>
      </c>
      <c r="AB433" s="45">
        <v>1612.9</v>
      </c>
      <c r="AD433" s="43" t="s">
        <v>651</v>
      </c>
      <c r="AF433" s="46" t="s">
        <v>85</v>
      </c>
      <c r="AH433" s="40" t="str">
        <f t="shared" si="1"/>
        <v>Modine</v>
      </c>
      <c r="AI433" s="39" t="s">
        <v>82</v>
      </c>
    </row>
    <row r="434" ht="15.75" customHeight="1">
      <c r="A434" s="43" t="s">
        <v>77</v>
      </c>
      <c r="B434" s="43" t="s">
        <v>642</v>
      </c>
      <c r="C434" s="43" t="s">
        <v>643</v>
      </c>
      <c r="G434" s="44"/>
      <c r="H434" s="44"/>
      <c r="I434" s="44"/>
      <c r="J434" s="44"/>
      <c r="V434" s="43" t="s">
        <v>652</v>
      </c>
      <c r="Y434" s="29" t="s">
        <v>72</v>
      </c>
      <c r="AA434" s="37">
        <v>1334.12</v>
      </c>
      <c r="AB434" s="45">
        <v>1867.76</v>
      </c>
      <c r="AD434" s="43" t="s">
        <v>653</v>
      </c>
      <c r="AF434" s="46" t="s">
        <v>85</v>
      </c>
      <c r="AH434" s="40" t="str">
        <f t="shared" si="1"/>
        <v>Modine</v>
      </c>
      <c r="AI434" s="39" t="s">
        <v>82</v>
      </c>
    </row>
    <row r="435" ht="15.75" customHeight="1">
      <c r="A435" s="43" t="s">
        <v>77</v>
      </c>
      <c r="B435" s="43" t="s">
        <v>642</v>
      </c>
      <c r="C435" s="43" t="s">
        <v>643</v>
      </c>
      <c r="G435" s="44"/>
      <c r="H435" s="44"/>
      <c r="I435" s="44"/>
      <c r="J435" s="44"/>
      <c r="V435" s="43" t="s">
        <v>654</v>
      </c>
      <c r="Y435" s="29" t="s">
        <v>72</v>
      </c>
      <c r="AA435" s="37">
        <v>1441.24</v>
      </c>
      <c r="AB435" s="45">
        <v>2017.74</v>
      </c>
      <c r="AD435" s="43" t="s">
        <v>655</v>
      </c>
      <c r="AF435" s="46" t="s">
        <v>85</v>
      </c>
      <c r="AH435" s="40" t="str">
        <f t="shared" si="1"/>
        <v>Modine</v>
      </c>
      <c r="AI435" s="39" t="s">
        <v>82</v>
      </c>
    </row>
    <row r="436" ht="15.75" customHeight="1">
      <c r="A436" s="43" t="s">
        <v>77</v>
      </c>
      <c r="B436" s="43" t="s">
        <v>642</v>
      </c>
      <c r="C436" s="43" t="s">
        <v>643</v>
      </c>
      <c r="G436" s="44"/>
      <c r="H436" s="44"/>
      <c r="I436" s="44"/>
      <c r="J436" s="44"/>
      <c r="V436" s="43" t="s">
        <v>656</v>
      </c>
      <c r="Y436" s="29" t="s">
        <v>72</v>
      </c>
      <c r="AA436" s="37">
        <v>1822.41</v>
      </c>
      <c r="AB436" s="45">
        <v>2551.37</v>
      </c>
      <c r="AD436" s="43" t="s">
        <v>657</v>
      </c>
      <c r="AF436" s="46" t="s">
        <v>85</v>
      </c>
      <c r="AH436" s="40" t="str">
        <f t="shared" si="1"/>
        <v>Modine</v>
      </c>
      <c r="AI436" s="39" t="s">
        <v>82</v>
      </c>
    </row>
    <row r="437" ht="15.75" customHeight="1">
      <c r="A437" s="43" t="s">
        <v>77</v>
      </c>
      <c r="B437" s="43" t="s">
        <v>642</v>
      </c>
      <c r="C437" s="43" t="s">
        <v>643</v>
      </c>
      <c r="G437" s="44"/>
      <c r="H437" s="44"/>
      <c r="I437" s="44"/>
      <c r="J437" s="44"/>
      <c r="V437" s="43" t="s">
        <v>658</v>
      </c>
      <c r="Y437" s="29" t="s">
        <v>72</v>
      </c>
      <c r="AA437" s="37">
        <v>1968.47</v>
      </c>
      <c r="AB437" s="45">
        <v>2755.86</v>
      </c>
      <c r="AD437" s="43" t="s">
        <v>659</v>
      </c>
      <c r="AF437" s="46" t="s">
        <v>85</v>
      </c>
      <c r="AH437" s="40" t="str">
        <f t="shared" si="1"/>
        <v>Modine</v>
      </c>
      <c r="AI437" s="39" t="s">
        <v>82</v>
      </c>
    </row>
    <row r="438" ht="15.75" customHeight="1">
      <c r="A438" s="43" t="s">
        <v>77</v>
      </c>
      <c r="B438" s="43" t="s">
        <v>642</v>
      </c>
      <c r="C438" s="43" t="s">
        <v>643</v>
      </c>
      <c r="G438" s="44"/>
      <c r="H438" s="44"/>
      <c r="I438" s="44"/>
      <c r="J438" s="44"/>
      <c r="V438" s="43" t="s">
        <v>660</v>
      </c>
      <c r="Y438" s="29" t="s">
        <v>72</v>
      </c>
      <c r="AA438" s="37">
        <v>2086.29</v>
      </c>
      <c r="AB438" s="45">
        <v>2920.81</v>
      </c>
      <c r="AD438" s="43" t="s">
        <v>661</v>
      </c>
      <c r="AF438" s="46" t="s">
        <v>85</v>
      </c>
      <c r="AH438" s="40" t="str">
        <f t="shared" si="1"/>
        <v>Modine</v>
      </c>
      <c r="AI438" s="39" t="s">
        <v>82</v>
      </c>
    </row>
    <row r="439" ht="15.75" customHeight="1">
      <c r="A439" s="43" t="s">
        <v>77</v>
      </c>
      <c r="B439" s="43" t="s">
        <v>642</v>
      </c>
      <c r="C439" s="43" t="s">
        <v>643</v>
      </c>
      <c r="G439" s="44"/>
      <c r="H439" s="44"/>
      <c r="I439" s="44"/>
      <c r="J439" s="44"/>
      <c r="V439" s="43" t="s">
        <v>662</v>
      </c>
      <c r="Y439" s="29" t="s">
        <v>72</v>
      </c>
      <c r="AA439" s="37">
        <v>2603.73</v>
      </c>
      <c r="AB439" s="45">
        <v>3645.22</v>
      </c>
      <c r="AD439" s="43" t="s">
        <v>663</v>
      </c>
      <c r="AF439" s="46" t="s">
        <v>85</v>
      </c>
      <c r="AH439" s="40" t="str">
        <f t="shared" si="1"/>
        <v>Modine</v>
      </c>
      <c r="AI439" s="39" t="s">
        <v>82</v>
      </c>
    </row>
    <row r="440" ht="15.75" customHeight="1">
      <c r="A440" s="43" t="s">
        <v>77</v>
      </c>
      <c r="B440" s="43" t="s">
        <v>642</v>
      </c>
      <c r="C440" s="43" t="s">
        <v>643</v>
      </c>
      <c r="G440" s="44"/>
      <c r="H440" s="44"/>
      <c r="I440" s="44"/>
      <c r="J440" s="44"/>
      <c r="V440" s="43" t="s">
        <v>664</v>
      </c>
      <c r="Y440" s="29" t="s">
        <v>72</v>
      </c>
      <c r="AA440" s="37">
        <v>118.18</v>
      </c>
      <c r="AB440" s="45">
        <v>165.45</v>
      </c>
      <c r="AD440" s="47">
        <v>28048.0</v>
      </c>
      <c r="AF440" s="46" t="s">
        <v>85</v>
      </c>
      <c r="AH440" s="40" t="str">
        <f t="shared" si="1"/>
        <v>Modine</v>
      </c>
      <c r="AI440" s="39" t="s">
        <v>82</v>
      </c>
    </row>
    <row r="441" ht="15.75" customHeight="1">
      <c r="A441" s="43" t="s">
        <v>77</v>
      </c>
      <c r="B441" s="43" t="s">
        <v>642</v>
      </c>
      <c r="C441" s="43" t="s">
        <v>643</v>
      </c>
      <c r="G441" s="44"/>
      <c r="H441" s="44"/>
      <c r="I441" s="44"/>
      <c r="J441" s="44"/>
      <c r="V441" s="43" t="s">
        <v>665</v>
      </c>
      <c r="Y441" s="29" t="s">
        <v>72</v>
      </c>
      <c r="AA441" s="37">
        <v>105.17</v>
      </c>
      <c r="AB441" s="45">
        <v>147.24</v>
      </c>
      <c r="AD441" s="47">
        <v>28049.0</v>
      </c>
      <c r="AF441" s="46" t="s">
        <v>85</v>
      </c>
      <c r="AH441" s="40" t="str">
        <f t="shared" si="1"/>
        <v>Modine</v>
      </c>
      <c r="AI441" s="39" t="s">
        <v>82</v>
      </c>
    </row>
    <row r="442" ht="15.75" customHeight="1">
      <c r="A442" s="43" t="s">
        <v>77</v>
      </c>
      <c r="B442" s="43" t="s">
        <v>642</v>
      </c>
      <c r="C442" s="43" t="s">
        <v>643</v>
      </c>
      <c r="G442" s="44"/>
      <c r="H442" s="44"/>
      <c r="I442" s="44"/>
      <c r="J442" s="44"/>
      <c r="V442" s="43" t="s">
        <v>666</v>
      </c>
      <c r="Y442" s="29" t="s">
        <v>72</v>
      </c>
      <c r="AA442" s="37">
        <v>91.43</v>
      </c>
      <c r="AB442" s="45">
        <v>128.0</v>
      </c>
      <c r="AD442" s="47">
        <v>28050.0</v>
      </c>
      <c r="AF442" s="46" t="s">
        <v>85</v>
      </c>
      <c r="AH442" s="40" t="str">
        <f t="shared" si="1"/>
        <v>Modine</v>
      </c>
      <c r="AI442" s="39" t="s">
        <v>82</v>
      </c>
    </row>
    <row r="443" ht="15.75" customHeight="1">
      <c r="A443" s="43" t="s">
        <v>77</v>
      </c>
      <c r="B443" s="43" t="s">
        <v>642</v>
      </c>
      <c r="C443" s="43" t="s">
        <v>643</v>
      </c>
      <c r="G443" s="44"/>
      <c r="H443" s="44"/>
      <c r="I443" s="44"/>
      <c r="J443" s="44"/>
      <c r="V443" s="43" t="s">
        <v>667</v>
      </c>
      <c r="Y443" s="29" t="s">
        <v>72</v>
      </c>
      <c r="AA443" s="37">
        <v>139.73</v>
      </c>
      <c r="AB443" s="45">
        <v>195.62</v>
      </c>
      <c r="AD443" s="47">
        <v>28051.0</v>
      </c>
      <c r="AF443" s="46" t="s">
        <v>85</v>
      </c>
      <c r="AH443" s="40" t="str">
        <f t="shared" si="1"/>
        <v>Modine</v>
      </c>
      <c r="AI443" s="39" t="s">
        <v>82</v>
      </c>
    </row>
    <row r="444" ht="15.75" customHeight="1">
      <c r="A444" s="43" t="s">
        <v>77</v>
      </c>
      <c r="B444" s="43" t="s">
        <v>642</v>
      </c>
      <c r="C444" s="43" t="s">
        <v>643</v>
      </c>
      <c r="G444" s="44"/>
      <c r="H444" s="44"/>
      <c r="I444" s="44"/>
      <c r="J444" s="44"/>
      <c r="V444" s="43" t="s">
        <v>668</v>
      </c>
      <c r="Y444" s="29" t="s">
        <v>72</v>
      </c>
      <c r="AA444" s="37">
        <v>98.38</v>
      </c>
      <c r="AB444" s="45">
        <v>137.73</v>
      </c>
      <c r="AD444" s="47">
        <v>53079.0</v>
      </c>
      <c r="AF444" s="46" t="s">
        <v>85</v>
      </c>
      <c r="AH444" s="40" t="str">
        <f t="shared" si="1"/>
        <v>Modine</v>
      </c>
      <c r="AI444" s="39" t="s">
        <v>82</v>
      </c>
    </row>
    <row r="445" ht="15.75" customHeight="1">
      <c r="A445" s="43" t="s">
        <v>77</v>
      </c>
      <c r="B445" s="43" t="s">
        <v>642</v>
      </c>
      <c r="C445" s="43" t="s">
        <v>643</v>
      </c>
      <c r="G445" s="44"/>
      <c r="H445" s="44"/>
      <c r="I445" s="44"/>
      <c r="J445" s="44"/>
      <c r="V445" s="43" t="s">
        <v>669</v>
      </c>
      <c r="Y445" s="29" t="s">
        <v>72</v>
      </c>
      <c r="AA445" s="37">
        <v>68.33</v>
      </c>
      <c r="AB445" s="45">
        <v>95.66</v>
      </c>
      <c r="AD445" s="47">
        <v>53080.0</v>
      </c>
      <c r="AF445" s="46" t="s">
        <v>85</v>
      </c>
      <c r="AH445" s="40" t="str">
        <f t="shared" si="1"/>
        <v>Modine</v>
      </c>
      <c r="AI445" s="39" t="s">
        <v>82</v>
      </c>
    </row>
    <row r="446" ht="15.75" customHeight="1">
      <c r="A446" s="43" t="s">
        <v>77</v>
      </c>
      <c r="B446" s="43" t="s">
        <v>642</v>
      </c>
      <c r="C446" s="43" t="s">
        <v>643</v>
      </c>
      <c r="G446" s="44"/>
      <c r="H446" s="44"/>
      <c r="I446" s="44"/>
      <c r="J446" s="44"/>
      <c r="V446" s="43" t="s">
        <v>670</v>
      </c>
      <c r="Y446" s="29" t="s">
        <v>72</v>
      </c>
      <c r="AA446" s="37">
        <v>74.26</v>
      </c>
      <c r="AB446" s="45">
        <v>103.97</v>
      </c>
      <c r="AD446" s="47">
        <v>53081.0</v>
      </c>
      <c r="AF446" s="46" t="s">
        <v>85</v>
      </c>
      <c r="AH446" s="40" t="str">
        <f t="shared" si="1"/>
        <v>Modine</v>
      </c>
      <c r="AI446" s="39" t="s">
        <v>82</v>
      </c>
    </row>
    <row r="447" ht="15.75" customHeight="1">
      <c r="A447" s="43" t="s">
        <v>77</v>
      </c>
      <c r="B447" s="43" t="s">
        <v>642</v>
      </c>
      <c r="C447" s="43" t="s">
        <v>643</v>
      </c>
      <c r="G447" s="44"/>
      <c r="H447" s="44"/>
      <c r="I447" s="44"/>
      <c r="J447" s="44"/>
      <c r="V447" s="43" t="s">
        <v>671</v>
      </c>
      <c r="Y447" s="29" t="s">
        <v>72</v>
      </c>
      <c r="AA447" s="37">
        <v>174.05</v>
      </c>
      <c r="AB447" s="45">
        <v>243.67</v>
      </c>
      <c r="AD447" s="43" t="s">
        <v>672</v>
      </c>
      <c r="AF447" s="46" t="s">
        <v>85</v>
      </c>
      <c r="AH447" s="40" t="str">
        <f t="shared" si="1"/>
        <v>Modine</v>
      </c>
      <c r="AI447" s="39" t="s">
        <v>82</v>
      </c>
    </row>
    <row r="448" ht="15.75" customHeight="1">
      <c r="A448" s="43" t="s">
        <v>77</v>
      </c>
      <c r="B448" s="43" t="s">
        <v>673</v>
      </c>
      <c r="C448" s="43" t="s">
        <v>674</v>
      </c>
      <c r="G448" s="44"/>
      <c r="H448" s="44"/>
      <c r="I448" s="44"/>
      <c r="J448" s="44"/>
      <c r="V448" s="43" t="s">
        <v>675</v>
      </c>
      <c r="Y448" s="29" t="s">
        <v>72</v>
      </c>
      <c r="AA448" s="37">
        <v>38.34</v>
      </c>
      <c r="AB448" s="45">
        <v>53.68</v>
      </c>
      <c r="AD448" s="43" t="s">
        <v>676</v>
      </c>
      <c r="AF448" s="46"/>
      <c r="AH448" s="40" t="str">
        <f t="shared" si="1"/>
        <v>Resideo</v>
      </c>
      <c r="AI448" s="39" t="s">
        <v>82</v>
      </c>
    </row>
    <row r="449" ht="15.75" customHeight="1">
      <c r="A449" s="43" t="s">
        <v>77</v>
      </c>
      <c r="B449" s="43" t="s">
        <v>673</v>
      </c>
      <c r="C449" s="43" t="s">
        <v>674</v>
      </c>
      <c r="G449" s="44"/>
      <c r="H449" s="44"/>
      <c r="I449" s="44"/>
      <c r="J449" s="44"/>
      <c r="V449" s="43" t="s">
        <v>677</v>
      </c>
      <c r="Y449" s="29" t="s">
        <v>72</v>
      </c>
      <c r="AA449" s="37">
        <v>38.91</v>
      </c>
      <c r="AB449" s="45">
        <v>54.48</v>
      </c>
      <c r="AD449" s="43" t="s">
        <v>678</v>
      </c>
      <c r="AF449" s="46"/>
      <c r="AH449" s="40" t="str">
        <f t="shared" si="1"/>
        <v>Resideo</v>
      </c>
      <c r="AI449" s="39" t="s">
        <v>82</v>
      </c>
    </row>
    <row r="450" ht="15.75" customHeight="1">
      <c r="A450" s="43" t="s">
        <v>77</v>
      </c>
      <c r="B450" s="43" t="s">
        <v>673</v>
      </c>
      <c r="C450" s="43" t="s">
        <v>674</v>
      </c>
      <c r="G450" s="44"/>
      <c r="H450" s="44"/>
      <c r="I450" s="44"/>
      <c r="J450" s="44"/>
      <c r="V450" s="43" t="s">
        <v>679</v>
      </c>
      <c r="Y450" s="29" t="s">
        <v>72</v>
      </c>
      <c r="AA450" s="37">
        <v>45.66</v>
      </c>
      <c r="AB450" s="45">
        <v>63.93</v>
      </c>
      <c r="AD450" s="43" t="s">
        <v>680</v>
      </c>
      <c r="AF450" s="46"/>
      <c r="AH450" s="40" t="str">
        <f t="shared" si="1"/>
        <v>Resideo</v>
      </c>
      <c r="AI450" s="39" t="s">
        <v>82</v>
      </c>
    </row>
    <row r="451" ht="15.75" customHeight="1">
      <c r="A451" s="43" t="s">
        <v>77</v>
      </c>
      <c r="B451" s="43" t="s">
        <v>673</v>
      </c>
      <c r="C451" s="43" t="s">
        <v>674</v>
      </c>
      <c r="G451" s="44"/>
      <c r="H451" s="44"/>
      <c r="I451" s="44"/>
      <c r="J451" s="44"/>
      <c r="V451" s="43" t="s">
        <v>681</v>
      </c>
      <c r="Y451" s="29" t="s">
        <v>72</v>
      </c>
      <c r="AA451" s="37">
        <v>28.69</v>
      </c>
      <c r="AB451" s="45">
        <v>40.17</v>
      </c>
      <c r="AD451" s="43" t="s">
        <v>682</v>
      </c>
      <c r="AH451" s="40" t="str">
        <f t="shared" si="1"/>
        <v>Resideo</v>
      </c>
      <c r="AI451" s="39" t="s">
        <v>82</v>
      </c>
    </row>
    <row r="452" ht="15.75" customHeight="1">
      <c r="A452" s="43" t="s">
        <v>77</v>
      </c>
      <c r="B452" s="43" t="s">
        <v>673</v>
      </c>
      <c r="C452" s="43" t="s">
        <v>674</v>
      </c>
      <c r="G452" s="44"/>
      <c r="H452" s="44"/>
      <c r="I452" s="44"/>
      <c r="J452" s="44"/>
      <c r="V452" s="43" t="s">
        <v>683</v>
      </c>
      <c r="Y452" s="29" t="s">
        <v>72</v>
      </c>
      <c r="AA452" s="37">
        <v>61.19</v>
      </c>
      <c r="AB452" s="45">
        <v>85.67</v>
      </c>
      <c r="AD452" s="43" t="s">
        <v>684</v>
      </c>
      <c r="AH452" s="40" t="str">
        <f t="shared" si="1"/>
        <v>Resideo</v>
      </c>
      <c r="AI452" s="39" t="s">
        <v>82</v>
      </c>
    </row>
    <row r="453" ht="15.75" customHeight="1">
      <c r="A453" s="43" t="s">
        <v>77</v>
      </c>
      <c r="B453" s="43" t="s">
        <v>673</v>
      </c>
      <c r="C453" s="43" t="s">
        <v>674</v>
      </c>
      <c r="G453" s="44"/>
      <c r="H453" s="44"/>
      <c r="I453" s="44"/>
      <c r="J453" s="44"/>
      <c r="V453" s="43" t="s">
        <v>685</v>
      </c>
      <c r="Y453" s="29" t="s">
        <v>72</v>
      </c>
      <c r="AA453" s="37">
        <v>73.98</v>
      </c>
      <c r="AB453" s="45">
        <v>103.57</v>
      </c>
      <c r="AD453" s="43" t="s">
        <v>686</v>
      </c>
      <c r="AH453" s="40" t="str">
        <f t="shared" si="1"/>
        <v>Resideo</v>
      </c>
      <c r="AI453" s="39" t="s">
        <v>82</v>
      </c>
    </row>
    <row r="454" ht="15.75" customHeight="1">
      <c r="A454" s="43" t="s">
        <v>77</v>
      </c>
      <c r="B454" s="43" t="s">
        <v>673</v>
      </c>
      <c r="C454" s="43" t="s">
        <v>674</v>
      </c>
      <c r="G454" s="44"/>
      <c r="H454" s="44"/>
      <c r="I454" s="44"/>
      <c r="J454" s="44"/>
      <c r="V454" s="43" t="s">
        <v>687</v>
      </c>
      <c r="Y454" s="29" t="s">
        <v>72</v>
      </c>
      <c r="AA454" s="37">
        <v>130.35</v>
      </c>
      <c r="AB454" s="45">
        <v>182.49</v>
      </c>
      <c r="AD454" s="43" t="s">
        <v>688</v>
      </c>
      <c r="AH454" s="40" t="str">
        <f t="shared" si="1"/>
        <v>Resideo</v>
      </c>
      <c r="AI454" s="39" t="s">
        <v>82</v>
      </c>
    </row>
    <row r="455" ht="15.75" customHeight="1">
      <c r="A455" s="43" t="s">
        <v>77</v>
      </c>
      <c r="B455" s="43" t="s">
        <v>673</v>
      </c>
      <c r="C455" s="43" t="s">
        <v>674</v>
      </c>
      <c r="G455" s="44"/>
      <c r="H455" s="44"/>
      <c r="I455" s="44"/>
      <c r="J455" s="44"/>
      <c r="V455" s="43" t="s">
        <v>689</v>
      </c>
      <c r="Y455" s="29" t="s">
        <v>72</v>
      </c>
      <c r="AA455" s="37">
        <v>87.3</v>
      </c>
      <c r="AB455" s="45">
        <v>122.22</v>
      </c>
      <c r="AD455" s="43" t="s">
        <v>690</v>
      </c>
      <c r="AH455" s="40" t="str">
        <f t="shared" si="1"/>
        <v>Resideo</v>
      </c>
      <c r="AI455" s="39" t="s">
        <v>82</v>
      </c>
    </row>
    <row r="456" ht="15.75" customHeight="1">
      <c r="A456" s="43" t="s">
        <v>77</v>
      </c>
      <c r="B456" s="43" t="s">
        <v>673</v>
      </c>
      <c r="C456" s="43" t="s">
        <v>674</v>
      </c>
      <c r="G456" s="44"/>
      <c r="H456" s="44"/>
      <c r="I456" s="44"/>
      <c r="J456" s="44"/>
      <c r="V456" s="43" t="s">
        <v>691</v>
      </c>
      <c r="Y456" s="29" t="s">
        <v>72</v>
      </c>
      <c r="AA456" s="37">
        <v>117.86</v>
      </c>
      <c r="AB456" s="45">
        <v>165.01</v>
      </c>
      <c r="AD456" s="43" t="s">
        <v>692</v>
      </c>
      <c r="AH456" s="40" t="str">
        <f t="shared" si="1"/>
        <v>Resideo</v>
      </c>
      <c r="AI456" s="39" t="s">
        <v>82</v>
      </c>
    </row>
    <row r="457" ht="15.75" customHeight="1">
      <c r="A457" s="43" t="s">
        <v>77</v>
      </c>
      <c r="B457" s="43" t="s">
        <v>673</v>
      </c>
      <c r="C457" s="43" t="s">
        <v>674</v>
      </c>
      <c r="G457" s="44"/>
      <c r="H457" s="44"/>
      <c r="I457" s="44"/>
      <c r="J457" s="44"/>
      <c r="V457" s="43" t="s">
        <v>693</v>
      </c>
      <c r="Y457" s="29" t="s">
        <v>72</v>
      </c>
      <c r="AA457" s="37">
        <v>162.91</v>
      </c>
      <c r="AB457" s="45">
        <v>228.08</v>
      </c>
      <c r="AD457" s="43" t="s">
        <v>694</v>
      </c>
      <c r="AH457" s="40" t="str">
        <f t="shared" si="1"/>
        <v>Resideo</v>
      </c>
      <c r="AI457" s="39" t="s">
        <v>82</v>
      </c>
    </row>
    <row r="458" ht="15.75" customHeight="1">
      <c r="A458" s="43" t="s">
        <v>77</v>
      </c>
      <c r="B458" s="43" t="s">
        <v>673</v>
      </c>
      <c r="C458" s="43" t="s">
        <v>674</v>
      </c>
      <c r="G458" s="44"/>
      <c r="H458" s="44"/>
      <c r="I458" s="44"/>
      <c r="J458" s="44"/>
      <c r="V458" s="43" t="s">
        <v>695</v>
      </c>
      <c r="Y458" s="29" t="s">
        <v>72</v>
      </c>
      <c r="AA458" s="37">
        <v>219.34</v>
      </c>
      <c r="AB458" s="45">
        <v>307.07</v>
      </c>
      <c r="AD458" s="43" t="s">
        <v>696</v>
      </c>
      <c r="AH458" s="40" t="str">
        <f t="shared" si="1"/>
        <v>Resideo</v>
      </c>
      <c r="AI458" s="39" t="s">
        <v>82</v>
      </c>
    </row>
    <row r="459" ht="15.75" customHeight="1">
      <c r="A459" s="43" t="s">
        <v>77</v>
      </c>
      <c r="B459" s="43" t="s">
        <v>673</v>
      </c>
      <c r="C459" s="43" t="s">
        <v>674</v>
      </c>
      <c r="G459" s="44"/>
      <c r="H459" s="44"/>
      <c r="I459" s="44"/>
      <c r="J459" s="44"/>
      <c r="V459" s="43" t="s">
        <v>697</v>
      </c>
      <c r="Y459" s="29" t="s">
        <v>72</v>
      </c>
      <c r="AA459" s="37">
        <v>235.57</v>
      </c>
      <c r="AB459" s="45">
        <v>329.8</v>
      </c>
      <c r="AD459" s="43" t="s">
        <v>698</v>
      </c>
      <c r="AH459" s="40" t="str">
        <f t="shared" si="1"/>
        <v>Resideo</v>
      </c>
      <c r="AI459" s="39" t="s">
        <v>82</v>
      </c>
    </row>
    <row r="460" ht="15.75" customHeight="1">
      <c r="A460" s="43" t="s">
        <v>77</v>
      </c>
      <c r="B460" s="43" t="s">
        <v>673</v>
      </c>
      <c r="C460" s="43" t="s">
        <v>674</v>
      </c>
      <c r="G460" s="44"/>
      <c r="H460" s="44"/>
      <c r="I460" s="44"/>
      <c r="J460" s="44"/>
      <c r="V460" s="43" t="s">
        <v>699</v>
      </c>
      <c r="Y460" s="29" t="s">
        <v>72</v>
      </c>
      <c r="AA460" s="37">
        <v>261.77</v>
      </c>
      <c r="AB460" s="45">
        <v>366.47</v>
      </c>
      <c r="AD460" s="43" t="s">
        <v>700</v>
      </c>
      <c r="AH460" s="40" t="str">
        <f t="shared" si="1"/>
        <v>Resideo</v>
      </c>
      <c r="AI460" s="39" t="s">
        <v>82</v>
      </c>
    </row>
    <row r="461" ht="15.75" customHeight="1">
      <c r="A461" s="43" t="s">
        <v>77</v>
      </c>
      <c r="B461" s="43" t="s">
        <v>673</v>
      </c>
      <c r="C461" s="43" t="s">
        <v>674</v>
      </c>
      <c r="G461" s="44"/>
      <c r="H461" s="44"/>
      <c r="I461" s="44"/>
      <c r="J461" s="44"/>
      <c r="V461" s="43" t="s">
        <v>701</v>
      </c>
      <c r="Y461" s="29" t="s">
        <v>72</v>
      </c>
      <c r="AA461" s="37">
        <v>288.18</v>
      </c>
      <c r="AB461" s="45">
        <v>403.46</v>
      </c>
      <c r="AD461" s="43" t="s">
        <v>702</v>
      </c>
      <c r="AH461" s="40" t="str">
        <f t="shared" si="1"/>
        <v>Resideo</v>
      </c>
      <c r="AI461" s="39" t="s">
        <v>82</v>
      </c>
    </row>
    <row r="462" ht="15.75" customHeight="1">
      <c r="A462" s="43" t="s">
        <v>77</v>
      </c>
      <c r="B462" s="43" t="s">
        <v>673</v>
      </c>
      <c r="C462" s="43" t="s">
        <v>674</v>
      </c>
      <c r="G462" s="44"/>
      <c r="H462" s="44"/>
      <c r="I462" s="44"/>
      <c r="J462" s="44"/>
      <c r="V462" s="43" t="s">
        <v>703</v>
      </c>
      <c r="Y462" s="29" t="s">
        <v>72</v>
      </c>
      <c r="AA462" s="37">
        <v>266.64</v>
      </c>
      <c r="AB462" s="45">
        <v>373.3</v>
      </c>
      <c r="AD462" s="43" t="s">
        <v>704</v>
      </c>
      <c r="AH462" s="40" t="str">
        <f t="shared" si="1"/>
        <v>Resideo</v>
      </c>
      <c r="AI462" s="39" t="s">
        <v>82</v>
      </c>
    </row>
    <row r="463" ht="15.75" customHeight="1">
      <c r="A463" s="43" t="s">
        <v>77</v>
      </c>
      <c r="B463" s="43" t="s">
        <v>673</v>
      </c>
      <c r="C463" s="43" t="s">
        <v>674</v>
      </c>
      <c r="G463" s="44"/>
      <c r="H463" s="44"/>
      <c r="I463" s="44"/>
      <c r="J463" s="44"/>
      <c r="V463" s="43" t="s">
        <v>705</v>
      </c>
      <c r="Y463" s="29" t="s">
        <v>72</v>
      </c>
      <c r="AA463" s="37">
        <v>257.57</v>
      </c>
      <c r="AB463" s="45">
        <v>360.6</v>
      </c>
      <c r="AD463" s="43" t="s">
        <v>706</v>
      </c>
      <c r="AH463" s="40" t="str">
        <f t="shared" si="1"/>
        <v>Resideo</v>
      </c>
      <c r="AI463" s="39" t="s">
        <v>82</v>
      </c>
    </row>
    <row r="464" ht="15.75" customHeight="1">
      <c r="A464" s="43" t="s">
        <v>77</v>
      </c>
      <c r="B464" s="43" t="s">
        <v>673</v>
      </c>
      <c r="C464" s="43" t="s">
        <v>674</v>
      </c>
      <c r="G464" s="44"/>
      <c r="H464" s="44"/>
      <c r="I464" s="44"/>
      <c r="J464" s="44"/>
      <c r="V464" s="43" t="s">
        <v>707</v>
      </c>
      <c r="Y464" s="29" t="s">
        <v>72</v>
      </c>
      <c r="AA464" s="37">
        <v>295.62</v>
      </c>
      <c r="AB464" s="45">
        <v>413.87</v>
      </c>
      <c r="AD464" s="43" t="s">
        <v>708</v>
      </c>
      <c r="AH464" s="40" t="str">
        <f t="shared" si="1"/>
        <v>Resideo</v>
      </c>
      <c r="AI464" s="39" t="s">
        <v>82</v>
      </c>
    </row>
    <row r="465" ht="15.75" customHeight="1">
      <c r="A465" s="43" t="s">
        <v>77</v>
      </c>
      <c r="B465" s="43" t="s">
        <v>673</v>
      </c>
      <c r="C465" s="43" t="s">
        <v>674</v>
      </c>
      <c r="G465" s="44"/>
      <c r="H465" s="44"/>
      <c r="I465" s="44"/>
      <c r="J465" s="44"/>
      <c r="V465" s="43" t="s">
        <v>709</v>
      </c>
      <c r="Y465" s="29" t="s">
        <v>72</v>
      </c>
      <c r="AA465" s="37">
        <v>194.92</v>
      </c>
      <c r="AB465" s="45">
        <v>272.89</v>
      </c>
      <c r="AD465" s="43" t="s">
        <v>710</v>
      </c>
      <c r="AH465" s="40" t="str">
        <f t="shared" si="1"/>
        <v>Resideo</v>
      </c>
      <c r="AI465" s="39" t="s">
        <v>82</v>
      </c>
    </row>
    <row r="466" ht="15.75" customHeight="1">
      <c r="A466" s="43" t="s">
        <v>77</v>
      </c>
      <c r="B466" s="43" t="s">
        <v>673</v>
      </c>
      <c r="C466" s="43" t="s">
        <v>674</v>
      </c>
      <c r="G466" s="44"/>
      <c r="H466" s="44"/>
      <c r="I466" s="44"/>
      <c r="J466" s="44"/>
      <c r="V466" s="43" t="s">
        <v>711</v>
      </c>
      <c r="Y466" s="29" t="s">
        <v>72</v>
      </c>
      <c r="AA466" s="37">
        <v>104.05</v>
      </c>
      <c r="AB466" s="45">
        <v>145.67</v>
      </c>
      <c r="AD466" s="43" t="s">
        <v>712</v>
      </c>
      <c r="AH466" s="40" t="str">
        <f t="shared" si="1"/>
        <v>Resideo</v>
      </c>
      <c r="AI466" s="39" t="s">
        <v>82</v>
      </c>
    </row>
    <row r="467" ht="15.75" customHeight="1">
      <c r="A467" s="43" t="s">
        <v>77</v>
      </c>
      <c r="B467" s="43" t="s">
        <v>673</v>
      </c>
      <c r="C467" s="43" t="s">
        <v>674</v>
      </c>
      <c r="G467" s="44"/>
      <c r="H467" s="44"/>
      <c r="I467" s="44"/>
      <c r="J467" s="44"/>
      <c r="V467" s="43" t="s">
        <v>713</v>
      </c>
      <c r="Y467" s="29" t="s">
        <v>72</v>
      </c>
      <c r="AA467" s="37">
        <v>100.53</v>
      </c>
      <c r="AB467" s="45">
        <v>140.74</v>
      </c>
      <c r="AD467" s="43" t="s">
        <v>714</v>
      </c>
      <c r="AH467" s="40" t="str">
        <f t="shared" si="1"/>
        <v>Resideo</v>
      </c>
      <c r="AI467" s="39" t="s">
        <v>82</v>
      </c>
    </row>
    <row r="468" ht="15.75" customHeight="1">
      <c r="A468" s="43" t="s">
        <v>77</v>
      </c>
      <c r="B468" s="43" t="s">
        <v>673</v>
      </c>
      <c r="C468" s="43" t="s">
        <v>674</v>
      </c>
      <c r="G468" s="44"/>
      <c r="H468" s="44"/>
      <c r="I468" s="44"/>
      <c r="J468" s="44"/>
      <c r="V468" s="43" t="s">
        <v>715</v>
      </c>
      <c r="Y468" s="29" t="s">
        <v>72</v>
      </c>
      <c r="AA468" s="37">
        <v>85.82</v>
      </c>
      <c r="AB468" s="45">
        <v>120.14</v>
      </c>
      <c r="AD468" s="43" t="s">
        <v>716</v>
      </c>
      <c r="AH468" s="40" t="str">
        <f t="shared" si="1"/>
        <v>Resideo</v>
      </c>
      <c r="AI468" s="39" t="s">
        <v>82</v>
      </c>
    </row>
    <row r="469" ht="15.75" customHeight="1">
      <c r="A469" s="43" t="s">
        <v>77</v>
      </c>
      <c r="B469" s="43" t="s">
        <v>673</v>
      </c>
      <c r="C469" s="43" t="s">
        <v>674</v>
      </c>
      <c r="G469" s="44"/>
      <c r="H469" s="44"/>
      <c r="I469" s="44"/>
      <c r="J469" s="44"/>
      <c r="V469" s="43" t="s">
        <v>717</v>
      </c>
      <c r="Y469" s="29" t="s">
        <v>72</v>
      </c>
      <c r="AA469" s="37">
        <v>39.35</v>
      </c>
      <c r="AB469" s="45">
        <v>55.09</v>
      </c>
      <c r="AD469" s="43" t="s">
        <v>718</v>
      </c>
      <c r="AH469" s="40" t="str">
        <f t="shared" si="1"/>
        <v>Resideo</v>
      </c>
      <c r="AI469" s="39" t="s">
        <v>82</v>
      </c>
    </row>
    <row r="470" ht="15.75" customHeight="1">
      <c r="A470" s="43" t="s">
        <v>77</v>
      </c>
      <c r="B470" s="43" t="s">
        <v>673</v>
      </c>
      <c r="C470" s="43" t="s">
        <v>674</v>
      </c>
      <c r="G470" s="44"/>
      <c r="H470" s="44"/>
      <c r="I470" s="44"/>
      <c r="J470" s="44"/>
      <c r="V470" s="43" t="s">
        <v>719</v>
      </c>
      <c r="Y470" s="29" t="s">
        <v>72</v>
      </c>
      <c r="AA470" s="37">
        <v>45.48</v>
      </c>
      <c r="AB470" s="45">
        <v>63.68</v>
      </c>
      <c r="AD470" s="43" t="s">
        <v>720</v>
      </c>
      <c r="AH470" s="40" t="str">
        <f t="shared" si="1"/>
        <v>Resideo</v>
      </c>
      <c r="AI470" s="39" t="s">
        <v>82</v>
      </c>
    </row>
    <row r="471" ht="15.75" customHeight="1">
      <c r="A471" s="43" t="s">
        <v>77</v>
      </c>
      <c r="B471" s="43" t="s">
        <v>673</v>
      </c>
      <c r="C471" s="43" t="s">
        <v>674</v>
      </c>
      <c r="G471" s="44"/>
      <c r="H471" s="44"/>
      <c r="I471" s="44"/>
      <c r="J471" s="44"/>
      <c r="V471" s="43" t="s">
        <v>721</v>
      </c>
      <c r="Y471" s="29" t="s">
        <v>72</v>
      </c>
      <c r="AA471" s="37">
        <v>64.93</v>
      </c>
      <c r="AB471" s="45">
        <v>90.9</v>
      </c>
      <c r="AD471" s="43" t="s">
        <v>722</v>
      </c>
      <c r="AH471" s="40" t="str">
        <f t="shared" si="1"/>
        <v>Resideo</v>
      </c>
      <c r="AI471" s="39" t="s">
        <v>82</v>
      </c>
    </row>
    <row r="472" ht="15.75" customHeight="1">
      <c r="A472" s="43" t="s">
        <v>77</v>
      </c>
      <c r="B472" s="43" t="s">
        <v>673</v>
      </c>
      <c r="C472" s="43" t="s">
        <v>674</v>
      </c>
      <c r="G472" s="44"/>
      <c r="H472" s="44"/>
      <c r="I472" s="44"/>
      <c r="J472" s="44"/>
      <c r="V472" s="43" t="s">
        <v>723</v>
      </c>
      <c r="Y472" s="29" t="s">
        <v>72</v>
      </c>
      <c r="AA472" s="37">
        <v>111.53</v>
      </c>
      <c r="AB472" s="45">
        <v>156.15</v>
      </c>
      <c r="AD472" s="43" t="s">
        <v>724</v>
      </c>
      <c r="AH472" s="40" t="str">
        <f t="shared" si="1"/>
        <v>Resideo</v>
      </c>
      <c r="AI472" s="39" t="s">
        <v>82</v>
      </c>
    </row>
    <row r="473" ht="15.75" customHeight="1">
      <c r="A473" s="43" t="s">
        <v>77</v>
      </c>
      <c r="B473" s="43" t="s">
        <v>673</v>
      </c>
      <c r="C473" s="43" t="s">
        <v>674</v>
      </c>
      <c r="G473" s="44"/>
      <c r="H473" s="44"/>
      <c r="I473" s="44"/>
      <c r="J473" s="44"/>
      <c r="V473" s="43" t="s">
        <v>725</v>
      </c>
      <c r="Y473" s="29" t="s">
        <v>72</v>
      </c>
      <c r="AA473" s="37">
        <v>357.06</v>
      </c>
      <c r="AB473" s="45">
        <v>499.89</v>
      </c>
      <c r="AD473" s="43" t="s">
        <v>726</v>
      </c>
      <c r="AH473" s="40" t="str">
        <f t="shared" si="1"/>
        <v>Resideo</v>
      </c>
      <c r="AI473" s="39" t="s">
        <v>82</v>
      </c>
    </row>
    <row r="474" ht="15.75" customHeight="1">
      <c r="A474" s="43" t="s">
        <v>77</v>
      </c>
      <c r="B474" s="43" t="s">
        <v>673</v>
      </c>
      <c r="C474" s="43" t="s">
        <v>674</v>
      </c>
      <c r="G474" s="44"/>
      <c r="H474" s="44"/>
      <c r="I474" s="44"/>
      <c r="J474" s="44"/>
      <c r="V474" s="43" t="s">
        <v>727</v>
      </c>
      <c r="Y474" s="29" t="s">
        <v>72</v>
      </c>
      <c r="AA474" s="37">
        <v>325.89</v>
      </c>
      <c r="AB474" s="45">
        <v>456.24</v>
      </c>
      <c r="AD474" s="43" t="s">
        <v>728</v>
      </c>
      <c r="AH474" s="40" t="str">
        <f t="shared" si="1"/>
        <v>Resideo</v>
      </c>
      <c r="AI474" s="39" t="s">
        <v>82</v>
      </c>
    </row>
    <row r="475" ht="15.75" customHeight="1">
      <c r="A475" s="43" t="s">
        <v>77</v>
      </c>
      <c r="B475" s="43" t="s">
        <v>673</v>
      </c>
      <c r="C475" s="43" t="s">
        <v>674</v>
      </c>
      <c r="G475" s="44"/>
      <c r="H475" s="44"/>
      <c r="I475" s="44"/>
      <c r="J475" s="44"/>
      <c r="V475" s="43" t="s">
        <v>729</v>
      </c>
      <c r="Y475" s="29" t="s">
        <v>72</v>
      </c>
      <c r="AA475" s="37">
        <v>431.49</v>
      </c>
      <c r="AB475" s="45">
        <v>604.09</v>
      </c>
      <c r="AD475" s="43" t="s">
        <v>730</v>
      </c>
      <c r="AH475" s="40" t="str">
        <f t="shared" si="1"/>
        <v>Resideo</v>
      </c>
      <c r="AI475" s="39" t="s">
        <v>82</v>
      </c>
    </row>
    <row r="476" ht="15.75" customHeight="1">
      <c r="A476" s="43" t="s">
        <v>77</v>
      </c>
      <c r="B476" s="43" t="s">
        <v>731</v>
      </c>
      <c r="C476" s="43" t="s">
        <v>732</v>
      </c>
      <c r="G476" s="44"/>
      <c r="H476" s="44"/>
      <c r="I476" s="44"/>
      <c r="J476" s="44"/>
      <c r="V476" s="43" t="s">
        <v>733</v>
      </c>
      <c r="Y476" s="29" t="s">
        <v>72</v>
      </c>
      <c r="AA476" s="37">
        <v>680.44</v>
      </c>
      <c r="AB476" s="45">
        <v>952.61</v>
      </c>
      <c r="AD476" s="43" t="s">
        <v>734</v>
      </c>
      <c r="AF476" s="46" t="s">
        <v>85</v>
      </c>
      <c r="AH476" s="40" t="str">
        <f t="shared" si="1"/>
        <v>Rudd</v>
      </c>
      <c r="AI476" s="39" t="s">
        <v>82</v>
      </c>
    </row>
    <row r="477" ht="15.75" customHeight="1">
      <c r="A477" s="43" t="s">
        <v>77</v>
      </c>
      <c r="B477" s="43" t="s">
        <v>731</v>
      </c>
      <c r="C477" s="43" t="s">
        <v>732</v>
      </c>
      <c r="G477" s="44"/>
      <c r="H477" s="44"/>
      <c r="I477" s="44"/>
      <c r="J477" s="44"/>
      <c r="V477" s="43" t="s">
        <v>735</v>
      </c>
      <c r="Y477" s="29" t="s">
        <v>72</v>
      </c>
      <c r="AA477" s="37">
        <v>680.44</v>
      </c>
      <c r="AB477" s="45">
        <v>952.61</v>
      </c>
      <c r="AD477" s="43" t="s">
        <v>736</v>
      </c>
      <c r="AF477" s="46" t="s">
        <v>85</v>
      </c>
      <c r="AH477" s="40" t="str">
        <f t="shared" si="1"/>
        <v>Rudd</v>
      </c>
      <c r="AI477" s="39" t="s">
        <v>82</v>
      </c>
    </row>
    <row r="478" ht="15.75" customHeight="1">
      <c r="A478" s="43" t="s">
        <v>77</v>
      </c>
      <c r="B478" s="43" t="s">
        <v>731</v>
      </c>
      <c r="C478" s="43" t="s">
        <v>732</v>
      </c>
      <c r="G478" s="44"/>
      <c r="H478" s="44"/>
      <c r="I478" s="44"/>
      <c r="J478" s="44"/>
      <c r="V478" s="43" t="s">
        <v>737</v>
      </c>
      <c r="Y478" s="29" t="s">
        <v>72</v>
      </c>
      <c r="AA478" s="37">
        <v>1467.5</v>
      </c>
      <c r="AB478" s="45">
        <v>2054.49</v>
      </c>
      <c r="AD478" s="43" t="s">
        <v>738</v>
      </c>
      <c r="AF478" s="46" t="s">
        <v>85</v>
      </c>
      <c r="AH478" s="40" t="str">
        <f t="shared" si="1"/>
        <v>Rudd</v>
      </c>
      <c r="AI478" s="39" t="s">
        <v>82</v>
      </c>
    </row>
    <row r="479" ht="15.75" customHeight="1">
      <c r="A479" s="43" t="s">
        <v>77</v>
      </c>
      <c r="B479" s="43" t="s">
        <v>731</v>
      </c>
      <c r="C479" s="43" t="s">
        <v>732</v>
      </c>
      <c r="G479" s="44"/>
      <c r="H479" s="44"/>
      <c r="I479" s="44"/>
      <c r="J479" s="44"/>
      <c r="V479" s="43" t="s">
        <v>739</v>
      </c>
      <c r="Y479" s="29" t="s">
        <v>72</v>
      </c>
      <c r="AA479" s="37">
        <v>1226.3</v>
      </c>
      <c r="AB479" s="45">
        <v>1716.82</v>
      </c>
      <c r="AD479" s="43" t="s">
        <v>740</v>
      </c>
      <c r="AF479" s="46" t="s">
        <v>85</v>
      </c>
      <c r="AH479" s="40" t="str">
        <f t="shared" si="1"/>
        <v>Rudd</v>
      </c>
      <c r="AI479" s="39" t="s">
        <v>82</v>
      </c>
    </row>
    <row r="480" ht="15.75" customHeight="1">
      <c r="A480" s="43" t="s">
        <v>77</v>
      </c>
      <c r="B480" s="43" t="s">
        <v>731</v>
      </c>
      <c r="C480" s="43" t="s">
        <v>732</v>
      </c>
      <c r="G480" s="44"/>
      <c r="H480" s="44"/>
      <c r="I480" s="44"/>
      <c r="J480" s="44"/>
      <c r="V480" s="43" t="s">
        <v>741</v>
      </c>
      <c r="Y480" s="29" t="s">
        <v>72</v>
      </c>
      <c r="AA480" s="37">
        <v>1222.49</v>
      </c>
      <c r="AB480" s="45">
        <v>1711.48</v>
      </c>
      <c r="AD480" s="43" t="s">
        <v>742</v>
      </c>
      <c r="AF480" s="46" t="s">
        <v>85</v>
      </c>
      <c r="AH480" s="40" t="str">
        <f t="shared" si="1"/>
        <v>Rudd</v>
      </c>
      <c r="AI480" s="39" t="s">
        <v>82</v>
      </c>
    </row>
    <row r="481" ht="15.75" customHeight="1">
      <c r="A481" s="43" t="s">
        <v>77</v>
      </c>
      <c r="B481" s="43" t="s">
        <v>731</v>
      </c>
      <c r="C481" s="43" t="s">
        <v>732</v>
      </c>
      <c r="G481" s="44"/>
      <c r="H481" s="44"/>
      <c r="I481" s="44"/>
      <c r="J481" s="44"/>
      <c r="V481" s="43" t="s">
        <v>743</v>
      </c>
      <c r="Y481" s="29" t="s">
        <v>72</v>
      </c>
      <c r="AA481" s="37">
        <v>917.82</v>
      </c>
      <c r="AB481" s="45">
        <v>1284.95</v>
      </c>
      <c r="AD481" s="43" t="s">
        <v>744</v>
      </c>
      <c r="AF481" s="46" t="s">
        <v>85</v>
      </c>
      <c r="AH481" s="40" t="str">
        <f t="shared" si="1"/>
        <v>Rudd</v>
      </c>
      <c r="AI481" s="39" t="s">
        <v>82</v>
      </c>
    </row>
    <row r="482" ht="15.75" customHeight="1">
      <c r="A482" s="43" t="s">
        <v>77</v>
      </c>
      <c r="B482" s="43" t="s">
        <v>731</v>
      </c>
      <c r="C482" s="43" t="s">
        <v>732</v>
      </c>
      <c r="G482" s="44"/>
      <c r="H482" s="44"/>
      <c r="I482" s="44"/>
      <c r="J482" s="44"/>
      <c r="V482" s="43" t="s">
        <v>745</v>
      </c>
      <c r="Y482" s="29" t="s">
        <v>72</v>
      </c>
      <c r="AA482" s="37">
        <v>1882.61</v>
      </c>
      <c r="AB482" s="45">
        <v>2635.66</v>
      </c>
      <c r="AD482" s="43" t="s">
        <v>746</v>
      </c>
      <c r="AF482" s="46" t="s">
        <v>85</v>
      </c>
      <c r="AH482" s="40" t="str">
        <f t="shared" si="1"/>
        <v>Rudd</v>
      </c>
      <c r="AI482" s="39" t="s">
        <v>82</v>
      </c>
    </row>
    <row r="483" ht="15.75" customHeight="1">
      <c r="A483" s="43" t="s">
        <v>77</v>
      </c>
      <c r="B483" s="43" t="s">
        <v>731</v>
      </c>
      <c r="C483" s="43" t="s">
        <v>732</v>
      </c>
      <c r="G483" s="44"/>
      <c r="H483" s="44"/>
      <c r="I483" s="44"/>
      <c r="J483" s="44"/>
      <c r="V483" s="43" t="s">
        <v>747</v>
      </c>
      <c r="Y483" s="29" t="s">
        <v>72</v>
      </c>
      <c r="AA483" s="37">
        <v>1565.25</v>
      </c>
      <c r="AB483" s="45">
        <v>2191.35</v>
      </c>
      <c r="AD483" s="43" t="s">
        <v>748</v>
      </c>
      <c r="AF483" s="46" t="s">
        <v>85</v>
      </c>
      <c r="AH483" s="40" t="str">
        <f t="shared" si="1"/>
        <v>Rudd</v>
      </c>
      <c r="AI483" s="39" t="s">
        <v>82</v>
      </c>
    </row>
    <row r="484" ht="15.75" customHeight="1">
      <c r="A484" s="43" t="s">
        <v>77</v>
      </c>
      <c r="B484" s="43" t="s">
        <v>731</v>
      </c>
      <c r="C484" s="43" t="s">
        <v>732</v>
      </c>
      <c r="G484" s="44"/>
      <c r="H484" s="44"/>
      <c r="I484" s="44"/>
      <c r="J484" s="44"/>
      <c r="V484" s="43" t="s">
        <v>749</v>
      </c>
      <c r="Y484" s="29" t="s">
        <v>72</v>
      </c>
      <c r="AA484" s="37">
        <v>2165.7</v>
      </c>
      <c r="AB484" s="45">
        <v>3031.98</v>
      </c>
      <c r="AD484" s="43" t="s">
        <v>750</v>
      </c>
      <c r="AF484" s="46" t="s">
        <v>85</v>
      </c>
      <c r="AH484" s="40" t="str">
        <f t="shared" si="1"/>
        <v>Rudd</v>
      </c>
      <c r="AI484" s="39" t="s">
        <v>82</v>
      </c>
    </row>
    <row r="485" ht="15.75" customHeight="1">
      <c r="A485" s="43" t="s">
        <v>77</v>
      </c>
      <c r="B485" s="43" t="s">
        <v>731</v>
      </c>
      <c r="C485" s="43" t="s">
        <v>732</v>
      </c>
      <c r="G485" s="44"/>
      <c r="H485" s="44"/>
      <c r="I485" s="44"/>
      <c r="J485" s="44"/>
      <c r="V485" s="43" t="s">
        <v>751</v>
      </c>
      <c r="Y485" s="29" t="s">
        <v>72</v>
      </c>
      <c r="AA485" s="37">
        <v>1403.59</v>
      </c>
      <c r="AB485" s="45">
        <v>1965.02</v>
      </c>
      <c r="AD485" s="43" t="s">
        <v>752</v>
      </c>
      <c r="AF485" s="46" t="s">
        <v>85</v>
      </c>
      <c r="AH485" s="40" t="str">
        <f t="shared" si="1"/>
        <v>Rudd</v>
      </c>
      <c r="AI485" s="39" t="s">
        <v>82</v>
      </c>
    </row>
    <row r="486" ht="15.75" customHeight="1">
      <c r="A486" s="43" t="s">
        <v>77</v>
      </c>
      <c r="B486" s="43" t="s">
        <v>731</v>
      </c>
      <c r="C486" s="43" t="s">
        <v>732</v>
      </c>
      <c r="G486" s="44"/>
      <c r="H486" s="44"/>
      <c r="I486" s="44"/>
      <c r="J486" s="44"/>
      <c r="V486" s="43" t="s">
        <v>753</v>
      </c>
      <c r="Y486" s="29" t="s">
        <v>72</v>
      </c>
      <c r="AA486" s="37">
        <v>1574.77</v>
      </c>
      <c r="AB486" s="45">
        <v>2204.67</v>
      </c>
      <c r="AD486" s="43" t="s">
        <v>754</v>
      </c>
      <c r="AF486" s="46" t="s">
        <v>85</v>
      </c>
      <c r="AH486" s="40" t="str">
        <f t="shared" si="1"/>
        <v>Rudd</v>
      </c>
      <c r="AI486" s="39" t="s">
        <v>82</v>
      </c>
    </row>
    <row r="487" ht="15.75" customHeight="1">
      <c r="A487" s="43" t="s">
        <v>77</v>
      </c>
      <c r="B487" s="43" t="s">
        <v>731</v>
      </c>
      <c r="C487" s="43" t="s">
        <v>732</v>
      </c>
      <c r="G487" s="44"/>
      <c r="H487" s="44"/>
      <c r="I487" s="44"/>
      <c r="J487" s="44"/>
      <c r="V487" s="43" t="s">
        <v>755</v>
      </c>
      <c r="Y487" s="29" t="s">
        <v>72</v>
      </c>
      <c r="AA487" s="37">
        <v>1574.77</v>
      </c>
      <c r="AB487" s="45">
        <v>2204.67</v>
      </c>
      <c r="AD487" s="43" t="s">
        <v>756</v>
      </c>
      <c r="AF487" s="46" t="s">
        <v>85</v>
      </c>
      <c r="AH487" s="40" t="str">
        <f t="shared" si="1"/>
        <v>Rudd</v>
      </c>
      <c r="AI487" s="39" t="s">
        <v>82</v>
      </c>
    </row>
    <row r="488" ht="15.75" customHeight="1">
      <c r="A488" s="43" t="s">
        <v>77</v>
      </c>
      <c r="B488" s="43" t="s">
        <v>731</v>
      </c>
      <c r="C488" s="43" t="s">
        <v>387</v>
      </c>
      <c r="G488" s="44"/>
      <c r="H488" s="44"/>
      <c r="I488" s="44"/>
      <c r="J488" s="44"/>
      <c r="V488" s="43" t="s">
        <v>757</v>
      </c>
      <c r="Y488" s="29" t="s">
        <v>72</v>
      </c>
      <c r="AA488" s="37">
        <v>3208.49</v>
      </c>
      <c r="AB488" s="45">
        <v>4491.89</v>
      </c>
      <c r="AD488" s="43" t="s">
        <v>758</v>
      </c>
      <c r="AF488" s="46" t="s">
        <v>85</v>
      </c>
      <c r="AH488" s="40" t="str">
        <f t="shared" si="1"/>
        <v>Bosch</v>
      </c>
      <c r="AI488" s="39" t="s">
        <v>82</v>
      </c>
    </row>
    <row r="489" ht="15.75" customHeight="1">
      <c r="A489" s="43" t="s">
        <v>77</v>
      </c>
      <c r="B489" s="43" t="s">
        <v>731</v>
      </c>
      <c r="C489" s="43" t="s">
        <v>387</v>
      </c>
      <c r="G489" s="44"/>
      <c r="H489" s="44"/>
      <c r="I489" s="44"/>
      <c r="J489" s="44"/>
      <c r="V489" s="43" t="s">
        <v>759</v>
      </c>
      <c r="Y489" s="29" t="s">
        <v>72</v>
      </c>
      <c r="AA489" s="37">
        <v>3901.45</v>
      </c>
      <c r="AB489" s="45">
        <v>5462.03</v>
      </c>
      <c r="AD489" s="43" t="s">
        <v>760</v>
      </c>
      <c r="AF489" s="46" t="s">
        <v>85</v>
      </c>
      <c r="AH489" s="40" t="str">
        <f t="shared" si="1"/>
        <v>Bosch</v>
      </c>
      <c r="AI489" s="39" t="s">
        <v>82</v>
      </c>
    </row>
    <row r="490" ht="15.75" customHeight="1">
      <c r="G490" s="44"/>
      <c r="H490" s="44"/>
      <c r="I490" s="44"/>
      <c r="J490" s="44"/>
      <c r="AF490" s="46"/>
    </row>
    <row r="491" ht="15.75" customHeight="1">
      <c r="G491" s="44"/>
      <c r="H491" s="44"/>
      <c r="I491" s="44"/>
      <c r="J491" s="44"/>
      <c r="AF491" s="46"/>
    </row>
    <row r="492" ht="15.75" customHeight="1">
      <c r="G492" s="44"/>
      <c r="H492" s="44"/>
      <c r="I492" s="44"/>
      <c r="J492" s="44"/>
    </row>
    <row r="493" ht="15.75" customHeight="1">
      <c r="G493" s="44"/>
      <c r="H493" s="44"/>
      <c r="I493" s="44"/>
      <c r="J493" s="44"/>
    </row>
    <row r="494" ht="15.75" customHeight="1">
      <c r="G494" s="44"/>
      <c r="H494" s="44"/>
      <c r="I494" s="44"/>
      <c r="J494" s="44"/>
    </row>
    <row r="495" ht="15.75" customHeight="1">
      <c r="G495" s="44"/>
      <c r="H495" s="44"/>
      <c r="I495" s="44"/>
      <c r="J495" s="44"/>
    </row>
    <row r="496" ht="15.75" customHeight="1">
      <c r="G496" s="44"/>
      <c r="H496" s="44"/>
      <c r="I496" s="44"/>
      <c r="J496" s="44"/>
    </row>
    <row r="497" ht="15.75" customHeight="1">
      <c r="G497" s="44"/>
      <c r="H497" s="44"/>
      <c r="I497" s="44"/>
      <c r="J497" s="44"/>
    </row>
    <row r="498" ht="15.75" customHeight="1">
      <c r="G498" s="44"/>
      <c r="H498" s="44"/>
      <c r="I498" s="44"/>
      <c r="J498" s="44"/>
    </row>
    <row r="499" ht="15.75" customHeight="1">
      <c r="G499" s="44"/>
      <c r="H499" s="44"/>
      <c r="I499" s="44"/>
      <c r="J499" s="44"/>
    </row>
    <row r="500" ht="15.75" customHeight="1">
      <c r="G500" s="44"/>
      <c r="H500" s="44"/>
      <c r="I500" s="44"/>
      <c r="J500" s="44"/>
    </row>
    <row r="501" ht="15.75" customHeight="1">
      <c r="G501" s="44"/>
      <c r="H501" s="44"/>
      <c r="I501" s="44"/>
      <c r="J501" s="44"/>
    </row>
    <row r="502" ht="15.75" customHeight="1">
      <c r="G502" s="44"/>
      <c r="H502" s="44"/>
      <c r="I502" s="44"/>
      <c r="J502" s="44"/>
    </row>
    <row r="503" ht="15.75" customHeight="1">
      <c r="G503" s="44"/>
      <c r="H503" s="44"/>
      <c r="I503" s="44"/>
      <c r="J503" s="44"/>
    </row>
    <row r="504" ht="15.75" customHeight="1">
      <c r="G504" s="44"/>
      <c r="H504" s="44"/>
      <c r="I504" s="44"/>
      <c r="J504" s="44"/>
    </row>
    <row r="505" ht="15.75" customHeight="1">
      <c r="G505" s="44"/>
      <c r="H505" s="44"/>
      <c r="I505" s="44"/>
      <c r="J505" s="44"/>
    </row>
    <row r="506" ht="15.75" customHeight="1">
      <c r="G506" s="44"/>
      <c r="H506" s="44"/>
      <c r="I506" s="44"/>
      <c r="J506" s="44"/>
    </row>
    <row r="507" ht="15.75" customHeight="1">
      <c r="G507" s="44"/>
      <c r="H507" s="44"/>
      <c r="I507" s="44"/>
      <c r="J507" s="44"/>
    </row>
    <row r="508" ht="15.75" customHeight="1">
      <c r="G508" s="44"/>
      <c r="H508" s="44"/>
      <c r="I508" s="44"/>
      <c r="J508" s="44"/>
    </row>
    <row r="509" ht="15.75" customHeight="1">
      <c r="G509" s="44"/>
      <c r="H509" s="44"/>
      <c r="I509" s="44"/>
      <c r="J509" s="44"/>
    </row>
    <row r="510" ht="15.75" customHeight="1">
      <c r="G510" s="44"/>
      <c r="H510" s="44"/>
      <c r="I510" s="44"/>
      <c r="J510" s="44"/>
    </row>
    <row r="511" ht="15.75" customHeight="1">
      <c r="G511" s="44"/>
      <c r="H511" s="44"/>
      <c r="I511" s="44"/>
      <c r="J511" s="44"/>
    </row>
    <row r="512" ht="15.75" customHeight="1">
      <c r="G512" s="44"/>
      <c r="H512" s="44"/>
      <c r="I512" s="44"/>
      <c r="J512" s="44"/>
    </row>
    <row r="513" ht="15.75" customHeight="1">
      <c r="G513" s="44"/>
      <c r="H513" s="44"/>
      <c r="I513" s="44"/>
      <c r="J513" s="44"/>
    </row>
    <row r="514" ht="15.75" customHeight="1">
      <c r="G514" s="44"/>
      <c r="H514" s="44"/>
      <c r="I514" s="44"/>
      <c r="J514" s="44"/>
    </row>
    <row r="515" ht="15.75" customHeight="1">
      <c r="G515" s="44"/>
      <c r="H515" s="44"/>
      <c r="I515" s="44"/>
      <c r="J515" s="44"/>
    </row>
    <row r="516" ht="15.75" customHeight="1">
      <c r="G516" s="44"/>
      <c r="H516" s="44"/>
      <c r="I516" s="44"/>
      <c r="J516" s="44"/>
    </row>
    <row r="517" ht="15.75" customHeight="1">
      <c r="G517" s="44"/>
      <c r="H517" s="44"/>
      <c r="I517" s="44"/>
      <c r="J517" s="44"/>
    </row>
    <row r="518" ht="15.75" customHeight="1">
      <c r="G518" s="44"/>
      <c r="H518" s="44"/>
      <c r="I518" s="44"/>
      <c r="J518" s="44"/>
    </row>
    <row r="519" ht="15.75" customHeight="1">
      <c r="G519" s="44"/>
      <c r="H519" s="44"/>
      <c r="I519" s="44"/>
      <c r="J519" s="44"/>
    </row>
    <row r="520" ht="15.75" customHeight="1">
      <c r="G520" s="44"/>
      <c r="H520" s="44"/>
      <c r="I520" s="44"/>
      <c r="J520" s="44"/>
    </row>
    <row r="521" ht="15.75" customHeight="1">
      <c r="G521" s="44"/>
      <c r="H521" s="44"/>
      <c r="I521" s="44"/>
      <c r="J521" s="44"/>
    </row>
    <row r="522" ht="15.75" customHeight="1">
      <c r="G522" s="44"/>
      <c r="H522" s="44"/>
      <c r="I522" s="44"/>
      <c r="J522" s="44"/>
    </row>
    <row r="523" ht="15.75" customHeight="1">
      <c r="G523" s="44"/>
      <c r="H523" s="44"/>
      <c r="I523" s="44"/>
      <c r="J523" s="44"/>
    </row>
    <row r="524" ht="15.75" customHeight="1">
      <c r="G524" s="44"/>
      <c r="H524" s="44"/>
      <c r="I524" s="44"/>
      <c r="J524" s="44"/>
    </row>
    <row r="525" ht="15.75" customHeight="1">
      <c r="G525" s="44"/>
      <c r="H525" s="44"/>
      <c r="I525" s="44"/>
      <c r="J525" s="44"/>
    </row>
    <row r="526" ht="15.75" customHeight="1">
      <c r="G526" s="44"/>
      <c r="H526" s="44"/>
      <c r="I526" s="44"/>
      <c r="J526" s="44"/>
    </row>
    <row r="527" ht="15.75" customHeight="1">
      <c r="G527" s="44"/>
      <c r="H527" s="44"/>
      <c r="I527" s="44"/>
      <c r="J527" s="44"/>
    </row>
    <row r="528" ht="15.75" customHeight="1">
      <c r="G528" s="44"/>
      <c r="H528" s="44"/>
      <c r="I528" s="44"/>
      <c r="J528" s="44"/>
    </row>
    <row r="529" ht="15.75" customHeight="1">
      <c r="G529" s="44"/>
      <c r="H529" s="44"/>
      <c r="I529" s="44"/>
      <c r="J529" s="44"/>
    </row>
    <row r="530" ht="15.75" customHeight="1">
      <c r="G530" s="44"/>
      <c r="H530" s="44"/>
      <c r="I530" s="44"/>
      <c r="J530" s="44"/>
    </row>
    <row r="531" ht="15.75" customHeight="1">
      <c r="G531" s="44"/>
      <c r="H531" s="44"/>
      <c r="I531" s="44"/>
      <c r="J531" s="44"/>
    </row>
    <row r="532" ht="15.75" customHeight="1">
      <c r="G532" s="44"/>
      <c r="H532" s="44"/>
      <c r="I532" s="44"/>
      <c r="J532" s="44"/>
    </row>
    <row r="533" ht="15.75" customHeight="1">
      <c r="G533" s="44"/>
      <c r="H533" s="44"/>
      <c r="I533" s="44"/>
      <c r="J533" s="44"/>
    </row>
    <row r="534" ht="15.75" customHeight="1">
      <c r="G534" s="44"/>
      <c r="H534" s="44"/>
      <c r="I534" s="44"/>
      <c r="J534" s="44"/>
    </row>
    <row r="535" ht="15.75" customHeight="1">
      <c r="G535" s="44"/>
      <c r="H535" s="44"/>
      <c r="I535" s="44"/>
      <c r="J535" s="44"/>
    </row>
    <row r="536" ht="15.75" customHeight="1">
      <c r="G536" s="44"/>
      <c r="H536" s="44"/>
      <c r="I536" s="44"/>
      <c r="J536" s="44"/>
    </row>
    <row r="537" ht="15.75" customHeight="1">
      <c r="G537" s="44"/>
      <c r="H537" s="44"/>
      <c r="I537" s="44"/>
      <c r="J537" s="44"/>
    </row>
    <row r="538" ht="15.75" customHeight="1">
      <c r="G538" s="44"/>
      <c r="H538" s="44"/>
      <c r="I538" s="44"/>
      <c r="J538" s="44"/>
    </row>
    <row r="539" ht="15.75" customHeight="1">
      <c r="G539" s="44"/>
      <c r="H539" s="44"/>
      <c r="I539" s="44"/>
      <c r="J539" s="44"/>
    </row>
    <row r="540" ht="15.75" customHeight="1">
      <c r="G540" s="44"/>
      <c r="H540" s="44"/>
      <c r="I540" s="44"/>
      <c r="J540" s="44"/>
    </row>
    <row r="541" ht="15.75" customHeight="1">
      <c r="G541" s="44"/>
      <c r="H541" s="44"/>
      <c r="I541" s="44"/>
      <c r="J541" s="44"/>
    </row>
    <row r="542" ht="15.75" customHeight="1">
      <c r="G542" s="44"/>
      <c r="H542" s="44"/>
      <c r="I542" s="44"/>
      <c r="J542" s="44"/>
    </row>
    <row r="543" ht="15.75" customHeight="1">
      <c r="G543" s="44"/>
      <c r="H543" s="44"/>
      <c r="I543" s="44"/>
      <c r="J543" s="44"/>
    </row>
    <row r="544" ht="15.75" customHeight="1">
      <c r="G544" s="44"/>
      <c r="H544" s="44"/>
      <c r="I544" s="44"/>
      <c r="J544" s="44"/>
    </row>
    <row r="545" ht="15.75" customHeight="1">
      <c r="G545" s="44"/>
      <c r="H545" s="44"/>
      <c r="I545" s="44"/>
      <c r="J545" s="44"/>
    </row>
    <row r="546" ht="15.75" customHeight="1">
      <c r="G546" s="44"/>
      <c r="H546" s="44"/>
      <c r="I546" s="44"/>
      <c r="J546" s="44"/>
    </row>
    <row r="547" ht="15.75" customHeight="1">
      <c r="G547" s="44"/>
      <c r="H547" s="44"/>
      <c r="I547" s="44"/>
      <c r="J547" s="44"/>
    </row>
    <row r="548" ht="15.75" customHeight="1">
      <c r="G548" s="44"/>
      <c r="H548" s="44"/>
      <c r="I548" s="44"/>
      <c r="J548" s="44"/>
    </row>
    <row r="549" ht="15.75" customHeight="1">
      <c r="G549" s="44"/>
      <c r="H549" s="44"/>
      <c r="I549" s="44"/>
      <c r="J549" s="44"/>
    </row>
    <row r="550" ht="15.75" customHeight="1">
      <c r="G550" s="44"/>
      <c r="H550" s="44"/>
      <c r="I550" s="44"/>
      <c r="J550" s="44"/>
    </row>
    <row r="551" ht="15.75" customHeight="1">
      <c r="G551" s="44"/>
      <c r="H551" s="44"/>
      <c r="I551" s="44"/>
      <c r="J551" s="44"/>
    </row>
    <row r="552" ht="15.75" customHeight="1">
      <c r="G552" s="44"/>
      <c r="H552" s="44"/>
      <c r="I552" s="44"/>
      <c r="J552" s="44"/>
    </row>
    <row r="553" ht="15.75" customHeight="1">
      <c r="G553" s="44"/>
      <c r="H553" s="44"/>
      <c r="I553" s="44"/>
      <c r="J553" s="44"/>
    </row>
    <row r="554" ht="15.75" customHeight="1">
      <c r="G554" s="44"/>
      <c r="H554" s="44"/>
      <c r="I554" s="44"/>
      <c r="J554" s="44"/>
    </row>
    <row r="555" ht="15.75" customHeight="1">
      <c r="G555" s="44"/>
      <c r="H555" s="44"/>
      <c r="I555" s="44"/>
      <c r="J555" s="44"/>
    </row>
    <row r="556" ht="15.75" customHeight="1">
      <c r="G556" s="44"/>
      <c r="H556" s="44"/>
      <c r="I556" s="44"/>
      <c r="J556" s="44"/>
    </row>
    <row r="557" ht="15.75" customHeight="1">
      <c r="G557" s="44"/>
      <c r="H557" s="44"/>
      <c r="I557" s="44"/>
      <c r="J557" s="44"/>
    </row>
    <row r="558" ht="15.75" customHeight="1">
      <c r="G558" s="44"/>
      <c r="H558" s="44"/>
      <c r="I558" s="44"/>
      <c r="J558" s="44"/>
    </row>
    <row r="559" ht="15.75" customHeight="1">
      <c r="G559" s="44"/>
      <c r="H559" s="44"/>
      <c r="I559" s="44"/>
      <c r="J559" s="44"/>
    </row>
    <row r="560" ht="15.75" customHeight="1">
      <c r="G560" s="44"/>
      <c r="H560" s="44"/>
      <c r="I560" s="44"/>
      <c r="J560" s="44"/>
    </row>
    <row r="561" ht="15.75" customHeight="1">
      <c r="G561" s="44"/>
      <c r="H561" s="44"/>
      <c r="I561" s="44"/>
      <c r="J561" s="44"/>
    </row>
    <row r="562" ht="15.75" customHeight="1">
      <c r="G562" s="44"/>
      <c r="H562" s="44"/>
      <c r="I562" s="44"/>
      <c r="J562" s="44"/>
    </row>
    <row r="563" ht="15.75" customHeight="1">
      <c r="G563" s="44"/>
      <c r="H563" s="44"/>
      <c r="I563" s="44"/>
      <c r="J563" s="44"/>
    </row>
    <row r="564" ht="15.75" customHeight="1">
      <c r="G564" s="44"/>
      <c r="H564" s="44"/>
      <c r="I564" s="44"/>
      <c r="J564" s="44"/>
    </row>
    <row r="565" ht="15.75" customHeight="1">
      <c r="G565" s="44"/>
      <c r="H565" s="44"/>
      <c r="I565" s="44"/>
      <c r="J565" s="44"/>
    </row>
    <row r="566" ht="15.75" customHeight="1">
      <c r="G566" s="44"/>
      <c r="H566" s="44"/>
      <c r="I566" s="44"/>
      <c r="J566" s="44"/>
    </row>
    <row r="567" ht="15.75" customHeight="1">
      <c r="G567" s="44"/>
      <c r="H567" s="44"/>
      <c r="I567" s="44"/>
      <c r="J567" s="44"/>
    </row>
    <row r="568" ht="15.75" customHeight="1">
      <c r="G568" s="44"/>
      <c r="H568" s="44"/>
      <c r="I568" s="44"/>
      <c r="J568" s="44"/>
    </row>
    <row r="569" ht="15.75" customHeight="1">
      <c r="G569" s="44"/>
      <c r="H569" s="44"/>
      <c r="I569" s="44"/>
      <c r="J569" s="44"/>
    </row>
    <row r="570" ht="15.75" customHeight="1">
      <c r="G570" s="44"/>
      <c r="H570" s="44"/>
      <c r="I570" s="44"/>
      <c r="J570" s="44"/>
    </row>
    <row r="571" ht="15.75" customHeight="1">
      <c r="G571" s="44"/>
      <c r="H571" s="44"/>
      <c r="I571" s="44"/>
      <c r="J571" s="44"/>
    </row>
    <row r="572" ht="15.75" customHeight="1">
      <c r="G572" s="44"/>
      <c r="H572" s="44"/>
      <c r="I572" s="44"/>
      <c r="J572" s="44"/>
    </row>
    <row r="573" ht="15.75" customHeight="1">
      <c r="G573" s="44"/>
      <c r="H573" s="44"/>
      <c r="I573" s="44"/>
      <c r="J573" s="44"/>
    </row>
    <row r="574" ht="15.75" customHeight="1">
      <c r="G574" s="44"/>
      <c r="H574" s="44"/>
      <c r="I574" s="44"/>
      <c r="J574" s="44"/>
    </row>
    <row r="575" ht="15.75" customHeight="1">
      <c r="G575" s="44"/>
      <c r="H575" s="44"/>
      <c r="I575" s="44"/>
      <c r="J575" s="44"/>
    </row>
    <row r="576" ht="15.75" customHeight="1">
      <c r="G576" s="44"/>
      <c r="H576" s="44"/>
      <c r="I576" s="44"/>
      <c r="J576" s="44"/>
    </row>
    <row r="577" ht="15.75" customHeight="1">
      <c r="G577" s="44"/>
      <c r="H577" s="44"/>
      <c r="I577" s="44"/>
      <c r="J577" s="44"/>
    </row>
    <row r="578" ht="15.75" customHeight="1">
      <c r="G578" s="44"/>
      <c r="H578" s="44"/>
      <c r="I578" s="44"/>
      <c r="J578" s="44"/>
    </row>
    <row r="579" ht="15.75" customHeight="1">
      <c r="G579" s="44"/>
      <c r="H579" s="44"/>
      <c r="I579" s="44"/>
      <c r="J579" s="44"/>
    </row>
    <row r="580" ht="15.75" customHeight="1">
      <c r="G580" s="44"/>
      <c r="H580" s="44"/>
      <c r="I580" s="44"/>
      <c r="J580" s="44"/>
    </row>
    <row r="581" ht="15.75" customHeight="1">
      <c r="G581" s="44"/>
      <c r="H581" s="44"/>
      <c r="I581" s="44"/>
      <c r="J581" s="44"/>
    </row>
    <row r="582" ht="15.75" customHeight="1">
      <c r="G582" s="44"/>
      <c r="H582" s="44"/>
      <c r="I582" s="44"/>
      <c r="J582" s="44"/>
    </row>
    <row r="583" ht="15.75" customHeight="1">
      <c r="G583" s="44"/>
      <c r="H583" s="44"/>
      <c r="I583" s="44"/>
      <c r="J583" s="44"/>
    </row>
    <row r="584" ht="15.75" customHeight="1">
      <c r="G584" s="44"/>
      <c r="H584" s="44"/>
      <c r="I584" s="44"/>
      <c r="J584" s="44"/>
    </row>
    <row r="585" ht="15.75" customHeight="1">
      <c r="G585" s="44"/>
      <c r="H585" s="44"/>
      <c r="I585" s="44"/>
      <c r="J585" s="44"/>
    </row>
    <row r="586" ht="15.75" customHeight="1">
      <c r="G586" s="44"/>
      <c r="H586" s="44"/>
      <c r="I586" s="44"/>
      <c r="J586" s="44"/>
    </row>
    <row r="587" ht="15.75" customHeight="1">
      <c r="G587" s="44"/>
      <c r="H587" s="44"/>
      <c r="I587" s="44"/>
      <c r="J587" s="44"/>
    </row>
    <row r="588" ht="15.75" customHeight="1">
      <c r="G588" s="44"/>
      <c r="H588" s="44"/>
      <c r="I588" s="44"/>
      <c r="J588" s="44"/>
    </row>
    <row r="589" ht="15.75" customHeight="1">
      <c r="G589" s="44"/>
      <c r="H589" s="44"/>
      <c r="I589" s="44"/>
      <c r="J589" s="44"/>
    </row>
    <row r="590" ht="15.75" customHeight="1">
      <c r="G590" s="44"/>
      <c r="H590" s="44"/>
      <c r="I590" s="44"/>
      <c r="J590" s="44"/>
    </row>
    <row r="591" ht="15.75" customHeight="1">
      <c r="G591" s="44"/>
      <c r="H591" s="44"/>
      <c r="I591" s="44"/>
      <c r="J591" s="44"/>
    </row>
    <row r="592" ht="15.75" customHeight="1">
      <c r="G592" s="44"/>
      <c r="H592" s="44"/>
      <c r="I592" s="44"/>
      <c r="J592" s="44"/>
    </row>
    <row r="593" ht="15.75" customHeight="1">
      <c r="G593" s="44"/>
      <c r="H593" s="44"/>
      <c r="I593" s="44"/>
      <c r="J593" s="44"/>
    </row>
    <row r="594" ht="15.75" customHeight="1">
      <c r="G594" s="44"/>
      <c r="H594" s="44"/>
      <c r="I594" s="44"/>
      <c r="J594" s="44"/>
    </row>
    <row r="595" ht="15.75" customHeight="1">
      <c r="G595" s="44"/>
      <c r="H595" s="44"/>
      <c r="I595" s="44"/>
      <c r="J595" s="44"/>
    </row>
    <row r="596" ht="15.75" customHeight="1">
      <c r="G596" s="44"/>
      <c r="H596" s="44"/>
      <c r="I596" s="44"/>
      <c r="J596" s="44"/>
    </row>
    <row r="597" ht="15.75" customHeight="1">
      <c r="G597" s="44"/>
      <c r="H597" s="44"/>
      <c r="I597" s="44"/>
      <c r="J597" s="44"/>
    </row>
    <row r="598" ht="15.75" customHeight="1">
      <c r="G598" s="44"/>
      <c r="H598" s="44"/>
      <c r="I598" s="44"/>
      <c r="J598" s="44"/>
    </row>
    <row r="599" ht="15.75" customHeight="1">
      <c r="G599" s="44"/>
      <c r="H599" s="44"/>
      <c r="I599" s="44"/>
      <c r="J599" s="44"/>
    </row>
    <row r="600" ht="15.75" customHeight="1">
      <c r="G600" s="44"/>
      <c r="H600" s="44"/>
      <c r="I600" s="44"/>
      <c r="J600" s="44"/>
    </row>
    <row r="601" ht="15.75" customHeight="1">
      <c r="G601" s="44"/>
      <c r="H601" s="44"/>
      <c r="I601" s="44"/>
      <c r="J601" s="44"/>
    </row>
    <row r="602" ht="15.75" customHeight="1">
      <c r="G602" s="44"/>
      <c r="H602" s="44"/>
      <c r="I602" s="44"/>
      <c r="J602" s="44"/>
    </row>
    <row r="603" ht="15.75" customHeight="1">
      <c r="G603" s="44"/>
      <c r="H603" s="44"/>
      <c r="I603" s="44"/>
      <c r="J603" s="44"/>
    </row>
    <row r="604" ht="15.75" customHeight="1">
      <c r="G604" s="44"/>
      <c r="H604" s="44"/>
      <c r="I604" s="44"/>
      <c r="J604" s="44"/>
    </row>
    <row r="605" ht="15.75" customHeight="1">
      <c r="G605" s="44"/>
      <c r="H605" s="44"/>
      <c r="I605" s="44"/>
      <c r="J605" s="44"/>
    </row>
    <row r="606" ht="15.75" customHeight="1">
      <c r="G606" s="44"/>
      <c r="H606" s="44"/>
      <c r="I606" s="44"/>
      <c r="J606" s="44"/>
    </row>
    <row r="607" ht="15.75" customHeight="1">
      <c r="G607" s="44"/>
      <c r="H607" s="44"/>
      <c r="I607" s="44"/>
      <c r="J607" s="44"/>
    </row>
    <row r="608" ht="15.75" customHeight="1">
      <c r="G608" s="44"/>
      <c r="H608" s="44"/>
      <c r="I608" s="44"/>
      <c r="J608" s="44"/>
    </row>
    <row r="609" ht="15.75" customHeight="1">
      <c r="G609" s="44"/>
      <c r="H609" s="44"/>
      <c r="I609" s="44"/>
      <c r="J609" s="44"/>
    </row>
    <row r="610" ht="15.75" customHeight="1">
      <c r="G610" s="44"/>
      <c r="H610" s="44"/>
      <c r="I610" s="44"/>
      <c r="J610" s="44"/>
    </row>
    <row r="611" ht="15.75" customHeight="1">
      <c r="G611" s="44"/>
      <c r="H611" s="44"/>
      <c r="I611" s="44"/>
      <c r="J611" s="44"/>
    </row>
    <row r="612" ht="15.75" customHeight="1">
      <c r="G612" s="44"/>
      <c r="H612" s="44"/>
      <c r="I612" s="44"/>
      <c r="J612" s="44"/>
    </row>
    <row r="613" ht="15.75" customHeight="1">
      <c r="G613" s="44"/>
      <c r="H613" s="44"/>
      <c r="I613" s="44"/>
      <c r="J613" s="44"/>
    </row>
    <row r="614" ht="15.75" customHeight="1">
      <c r="G614" s="44"/>
      <c r="H614" s="44"/>
      <c r="I614" s="44"/>
      <c r="J614" s="44"/>
    </row>
    <row r="615" ht="15.75" customHeight="1">
      <c r="G615" s="44"/>
      <c r="H615" s="44"/>
      <c r="I615" s="44"/>
      <c r="J615" s="44"/>
    </row>
    <row r="616" ht="15.75" customHeight="1">
      <c r="G616" s="44"/>
      <c r="H616" s="44"/>
      <c r="I616" s="44"/>
      <c r="J616" s="44"/>
    </row>
    <row r="617" ht="15.75" customHeight="1">
      <c r="G617" s="44"/>
      <c r="H617" s="44"/>
      <c r="I617" s="44"/>
      <c r="J617" s="44"/>
    </row>
    <row r="618" ht="15.75" customHeight="1">
      <c r="G618" s="44"/>
      <c r="H618" s="44"/>
      <c r="I618" s="44"/>
      <c r="J618" s="44"/>
    </row>
    <row r="619" ht="15.75" customHeight="1">
      <c r="G619" s="44"/>
      <c r="H619" s="44"/>
      <c r="I619" s="44"/>
      <c r="J619" s="44"/>
    </row>
    <row r="620" ht="15.75" customHeight="1">
      <c r="G620" s="44"/>
      <c r="H620" s="44"/>
      <c r="I620" s="44"/>
      <c r="J620" s="44"/>
    </row>
    <row r="621" ht="15.75" customHeight="1">
      <c r="G621" s="44"/>
      <c r="H621" s="44"/>
      <c r="I621" s="44"/>
      <c r="J621" s="44"/>
    </row>
    <row r="622" ht="15.75" customHeight="1">
      <c r="G622" s="44"/>
      <c r="H622" s="44"/>
      <c r="I622" s="44"/>
      <c r="J622" s="44"/>
    </row>
    <row r="623" ht="15.75" customHeight="1">
      <c r="G623" s="44"/>
      <c r="H623" s="44"/>
      <c r="I623" s="44"/>
      <c r="J623" s="44"/>
    </row>
    <row r="624" ht="15.75" customHeight="1">
      <c r="G624" s="44"/>
      <c r="H624" s="44"/>
      <c r="I624" s="44"/>
      <c r="J624" s="44"/>
    </row>
    <row r="625" ht="15.75" customHeight="1">
      <c r="G625" s="44"/>
      <c r="H625" s="44"/>
      <c r="I625" s="44"/>
      <c r="J625" s="44"/>
    </row>
    <row r="626" ht="15.75" customHeight="1">
      <c r="G626" s="44"/>
      <c r="H626" s="44"/>
      <c r="I626" s="44"/>
      <c r="J626" s="44"/>
    </row>
    <row r="627" ht="15.75" customHeight="1">
      <c r="G627" s="44"/>
      <c r="H627" s="44"/>
      <c r="I627" s="44"/>
      <c r="J627" s="44"/>
    </row>
    <row r="628" ht="15.75" customHeight="1">
      <c r="G628" s="44"/>
      <c r="H628" s="44"/>
      <c r="I628" s="44"/>
      <c r="J628" s="44"/>
    </row>
    <row r="629" ht="15.75" customHeight="1">
      <c r="G629" s="44"/>
      <c r="H629" s="44"/>
      <c r="I629" s="44"/>
      <c r="J629" s="44"/>
    </row>
    <row r="630" ht="15.75" customHeight="1">
      <c r="G630" s="44"/>
      <c r="H630" s="44"/>
      <c r="I630" s="44"/>
      <c r="J630" s="44"/>
    </row>
    <row r="631" ht="15.75" customHeight="1">
      <c r="G631" s="44"/>
      <c r="H631" s="44"/>
      <c r="I631" s="44"/>
      <c r="J631" s="44"/>
    </row>
    <row r="632" ht="15.75" customHeight="1">
      <c r="G632" s="44"/>
      <c r="H632" s="44"/>
      <c r="I632" s="44"/>
      <c r="J632" s="44"/>
    </row>
    <row r="633" ht="15.75" customHeight="1">
      <c r="G633" s="44"/>
      <c r="H633" s="44"/>
      <c r="I633" s="44"/>
      <c r="J633" s="44"/>
    </row>
    <row r="634" ht="15.75" customHeight="1">
      <c r="G634" s="44"/>
      <c r="H634" s="44"/>
      <c r="I634" s="44"/>
      <c r="J634" s="44"/>
    </row>
    <row r="635" ht="15.75" customHeight="1">
      <c r="G635" s="44"/>
      <c r="H635" s="44"/>
      <c r="I635" s="44"/>
      <c r="J635" s="44"/>
    </row>
    <row r="636" ht="15.75" customHeight="1">
      <c r="G636" s="44"/>
      <c r="H636" s="44"/>
      <c r="I636" s="44"/>
      <c r="J636" s="44"/>
    </row>
    <row r="637" ht="15.75" customHeight="1">
      <c r="G637" s="44"/>
      <c r="H637" s="44"/>
      <c r="I637" s="44"/>
      <c r="J637" s="44"/>
    </row>
    <row r="638" ht="15.75" customHeight="1">
      <c r="G638" s="44"/>
      <c r="H638" s="44"/>
      <c r="I638" s="44"/>
      <c r="J638" s="44"/>
    </row>
    <row r="639" ht="15.75" customHeight="1">
      <c r="G639" s="44"/>
      <c r="H639" s="44"/>
      <c r="I639" s="44"/>
      <c r="J639" s="44"/>
    </row>
    <row r="640" ht="15.75" customHeight="1">
      <c r="G640" s="44"/>
      <c r="H640" s="44"/>
      <c r="I640" s="44"/>
      <c r="J640" s="44"/>
    </row>
    <row r="641" ht="15.75" customHeight="1">
      <c r="G641" s="44"/>
      <c r="H641" s="44"/>
      <c r="I641" s="44"/>
      <c r="J641" s="44"/>
    </row>
    <row r="642" ht="15.75" customHeight="1">
      <c r="G642" s="44"/>
      <c r="H642" s="44"/>
      <c r="I642" s="44"/>
      <c r="J642" s="44"/>
    </row>
    <row r="643" ht="15.75" customHeight="1">
      <c r="G643" s="44"/>
      <c r="H643" s="44"/>
      <c r="I643" s="44"/>
      <c r="J643" s="44"/>
    </row>
    <row r="644" ht="15.75" customHeight="1">
      <c r="G644" s="44"/>
      <c r="H644" s="44"/>
      <c r="I644" s="44"/>
      <c r="J644" s="44"/>
    </row>
    <row r="645" ht="15.75" customHeight="1">
      <c r="G645" s="44"/>
      <c r="H645" s="44"/>
      <c r="I645" s="44"/>
      <c r="J645" s="44"/>
    </row>
    <row r="646" ht="15.75" customHeight="1">
      <c r="G646" s="44"/>
      <c r="H646" s="44"/>
      <c r="I646" s="44"/>
      <c r="J646" s="44"/>
    </row>
    <row r="647" ht="15.75" customHeight="1">
      <c r="G647" s="44"/>
      <c r="H647" s="44"/>
      <c r="I647" s="44"/>
      <c r="J647" s="44"/>
    </row>
    <row r="648" ht="15.75" customHeight="1">
      <c r="G648" s="44"/>
      <c r="H648" s="44"/>
      <c r="I648" s="44"/>
      <c r="J648" s="44"/>
    </row>
    <row r="649" ht="15.75" customHeight="1">
      <c r="G649" s="44"/>
      <c r="H649" s="44"/>
      <c r="I649" s="44"/>
      <c r="J649" s="44"/>
    </row>
    <row r="650" ht="15.75" customHeight="1">
      <c r="G650" s="44"/>
      <c r="H650" s="44"/>
      <c r="I650" s="44"/>
      <c r="J650" s="44"/>
    </row>
    <row r="651" ht="15.75" customHeight="1">
      <c r="G651" s="44"/>
      <c r="H651" s="44"/>
      <c r="I651" s="44"/>
      <c r="J651" s="44"/>
    </row>
    <row r="652" ht="15.75" customHeight="1">
      <c r="G652" s="44"/>
      <c r="H652" s="44"/>
      <c r="I652" s="44"/>
      <c r="J652" s="44"/>
    </row>
    <row r="653" ht="15.75" customHeight="1">
      <c r="G653" s="44"/>
      <c r="H653" s="44"/>
      <c r="I653" s="44"/>
      <c r="J653" s="44"/>
    </row>
    <row r="654" ht="15.75" customHeight="1">
      <c r="G654" s="44"/>
      <c r="H654" s="44"/>
      <c r="I654" s="44"/>
      <c r="J654" s="44"/>
    </row>
    <row r="655" ht="15.75" customHeight="1">
      <c r="G655" s="44"/>
      <c r="H655" s="44"/>
      <c r="I655" s="44"/>
      <c r="J655" s="44"/>
    </row>
    <row r="656" ht="15.75" customHeight="1">
      <c r="G656" s="44"/>
      <c r="H656" s="44"/>
      <c r="I656" s="44"/>
      <c r="J656" s="44"/>
    </row>
    <row r="657" ht="15.75" customHeight="1">
      <c r="G657" s="44"/>
      <c r="H657" s="44"/>
      <c r="I657" s="44"/>
      <c r="J657" s="44"/>
    </row>
    <row r="658" ht="15.75" customHeight="1">
      <c r="G658" s="44"/>
      <c r="H658" s="44"/>
      <c r="I658" s="44"/>
      <c r="J658" s="44"/>
    </row>
    <row r="659" ht="15.75" customHeight="1">
      <c r="G659" s="44"/>
      <c r="H659" s="44"/>
      <c r="I659" s="44"/>
      <c r="J659" s="44"/>
    </row>
    <row r="660" ht="15.75" customHeight="1">
      <c r="G660" s="44"/>
      <c r="H660" s="44"/>
      <c r="I660" s="44"/>
      <c r="J660" s="44"/>
    </row>
    <row r="661" ht="15.75" customHeight="1">
      <c r="G661" s="44"/>
      <c r="H661" s="44"/>
      <c r="I661" s="44"/>
      <c r="J661" s="44"/>
    </row>
    <row r="662" ht="15.75" customHeight="1">
      <c r="G662" s="44"/>
      <c r="H662" s="44"/>
      <c r="I662" s="44"/>
      <c r="J662" s="44"/>
    </row>
    <row r="663" ht="15.75" customHeight="1">
      <c r="G663" s="44"/>
      <c r="H663" s="44"/>
      <c r="I663" s="44"/>
      <c r="J663" s="44"/>
    </row>
    <row r="664" ht="15.75" customHeight="1">
      <c r="G664" s="44"/>
      <c r="H664" s="44"/>
      <c r="I664" s="44"/>
      <c r="J664" s="44"/>
    </row>
    <row r="665" ht="15.75" customHeight="1">
      <c r="G665" s="44"/>
      <c r="H665" s="44"/>
      <c r="I665" s="44"/>
      <c r="J665" s="44"/>
    </row>
    <row r="666" ht="15.75" customHeight="1">
      <c r="G666" s="44"/>
      <c r="H666" s="44"/>
      <c r="I666" s="44"/>
      <c r="J666" s="44"/>
    </row>
    <row r="667" ht="15.75" customHeight="1">
      <c r="G667" s="44"/>
      <c r="H667" s="44"/>
      <c r="I667" s="44"/>
      <c r="J667" s="44"/>
    </row>
    <row r="668" ht="15.75" customHeight="1">
      <c r="G668" s="44"/>
      <c r="H668" s="44"/>
      <c r="I668" s="44"/>
      <c r="J668" s="44"/>
    </row>
    <row r="669" ht="15.75" customHeight="1">
      <c r="G669" s="44"/>
      <c r="H669" s="44"/>
      <c r="I669" s="44"/>
      <c r="J669" s="44"/>
    </row>
    <row r="670" ht="15.75" customHeight="1">
      <c r="G670" s="44"/>
      <c r="H670" s="44"/>
      <c r="I670" s="44"/>
      <c r="J670" s="44"/>
    </row>
    <row r="671" ht="15.75" customHeight="1">
      <c r="G671" s="44"/>
      <c r="H671" s="44"/>
      <c r="I671" s="44"/>
      <c r="J671" s="44"/>
    </row>
    <row r="672" ht="15.75" customHeight="1">
      <c r="G672" s="44"/>
      <c r="H672" s="44"/>
      <c r="I672" s="44"/>
      <c r="J672" s="44"/>
    </row>
    <row r="673" ht="15.75" customHeight="1">
      <c r="G673" s="44"/>
      <c r="H673" s="44"/>
      <c r="I673" s="44"/>
      <c r="J673" s="44"/>
    </row>
    <row r="674" ht="15.75" customHeight="1">
      <c r="G674" s="44"/>
      <c r="H674" s="44"/>
      <c r="I674" s="44"/>
      <c r="J674" s="44"/>
    </row>
    <row r="675" ht="15.75" customHeight="1">
      <c r="G675" s="44"/>
      <c r="H675" s="44"/>
      <c r="I675" s="44"/>
      <c r="J675" s="44"/>
    </row>
    <row r="676" ht="15.75" customHeight="1">
      <c r="G676" s="44"/>
      <c r="H676" s="44"/>
      <c r="I676" s="44"/>
      <c r="J676" s="44"/>
    </row>
    <row r="677" ht="15.75" customHeight="1">
      <c r="G677" s="44"/>
      <c r="H677" s="44"/>
      <c r="I677" s="44"/>
      <c r="J677" s="44"/>
    </row>
    <row r="678" ht="15.75" customHeight="1">
      <c r="G678" s="44"/>
      <c r="H678" s="44"/>
      <c r="I678" s="44"/>
      <c r="J678" s="44"/>
    </row>
    <row r="679" ht="15.75" customHeight="1">
      <c r="G679" s="44"/>
      <c r="H679" s="44"/>
      <c r="I679" s="44"/>
      <c r="J679" s="44"/>
    </row>
    <row r="680" ht="15.75" customHeight="1">
      <c r="G680" s="44"/>
      <c r="H680" s="44"/>
      <c r="I680" s="44"/>
      <c r="J680" s="44"/>
    </row>
    <row r="681" ht="15.75" customHeight="1">
      <c r="G681" s="44"/>
      <c r="H681" s="44"/>
      <c r="I681" s="44"/>
      <c r="J681" s="44"/>
    </row>
    <row r="682" ht="15.75" customHeight="1">
      <c r="G682" s="44"/>
      <c r="H682" s="44"/>
      <c r="I682" s="44"/>
      <c r="J682" s="44"/>
    </row>
    <row r="683" ht="15.75" customHeight="1">
      <c r="G683" s="44"/>
      <c r="H683" s="44"/>
      <c r="I683" s="44"/>
      <c r="J683" s="44"/>
    </row>
    <row r="684" ht="15.75" customHeight="1">
      <c r="G684" s="44"/>
      <c r="H684" s="44"/>
      <c r="I684" s="44"/>
      <c r="J684" s="44"/>
    </row>
    <row r="685" ht="15.75" customHeight="1">
      <c r="G685" s="44"/>
      <c r="H685" s="44"/>
      <c r="I685" s="44"/>
      <c r="J685" s="44"/>
    </row>
    <row r="686" ht="15.75" customHeight="1">
      <c r="G686" s="44"/>
      <c r="H686" s="44"/>
      <c r="I686" s="44"/>
      <c r="J686" s="44"/>
    </row>
    <row r="687" ht="15.75" customHeight="1">
      <c r="G687" s="44"/>
      <c r="H687" s="44"/>
      <c r="I687" s="44"/>
      <c r="J687" s="44"/>
    </row>
    <row r="688" ht="15.75" customHeight="1">
      <c r="G688" s="44"/>
      <c r="H688" s="44"/>
      <c r="I688" s="44"/>
      <c r="J688" s="44"/>
    </row>
    <row r="689" ht="15.75" customHeight="1">
      <c r="G689" s="44"/>
      <c r="H689" s="44"/>
      <c r="I689" s="44"/>
      <c r="J689" s="44"/>
    </row>
    <row r="690" ht="15.75" customHeight="1">
      <c r="G690" s="44"/>
      <c r="H690" s="44"/>
      <c r="I690" s="44"/>
      <c r="J690" s="44"/>
    </row>
    <row r="691" ht="15.75" customHeight="1">
      <c r="G691" s="44"/>
      <c r="H691" s="44"/>
      <c r="I691" s="44"/>
      <c r="J691" s="44"/>
    </row>
    <row r="692" ht="15.75" customHeight="1">
      <c r="G692" s="44"/>
      <c r="H692" s="44"/>
      <c r="I692" s="44"/>
      <c r="J692" s="44"/>
    </row>
    <row r="693" ht="15.75" customHeight="1">
      <c r="G693" s="44"/>
      <c r="H693" s="44"/>
      <c r="I693" s="44"/>
      <c r="J693" s="44"/>
    </row>
    <row r="694" ht="15.75" customHeight="1">
      <c r="G694" s="44"/>
      <c r="H694" s="44"/>
      <c r="I694" s="44"/>
      <c r="J694" s="44"/>
    </row>
    <row r="695" ht="15.75" customHeight="1">
      <c r="G695" s="44"/>
      <c r="H695" s="44"/>
      <c r="I695" s="44"/>
      <c r="J695" s="44"/>
    </row>
    <row r="696" ht="15.75" customHeight="1">
      <c r="G696" s="44"/>
      <c r="H696" s="44"/>
      <c r="I696" s="44"/>
      <c r="J696" s="44"/>
    </row>
    <row r="697" ht="15.75" customHeight="1">
      <c r="G697" s="44"/>
      <c r="H697" s="44"/>
      <c r="I697" s="44"/>
      <c r="J697" s="44"/>
    </row>
    <row r="698" ht="15.75" customHeight="1">
      <c r="G698" s="44"/>
      <c r="H698" s="44"/>
      <c r="I698" s="44"/>
      <c r="J698" s="44"/>
    </row>
    <row r="699" ht="15.75" customHeight="1">
      <c r="G699" s="44"/>
      <c r="H699" s="44"/>
      <c r="I699" s="44"/>
      <c r="J699" s="44"/>
    </row>
    <row r="700" ht="15.75" customHeight="1">
      <c r="G700" s="44"/>
      <c r="H700" s="44"/>
      <c r="I700" s="44"/>
      <c r="J700" s="44"/>
    </row>
    <row r="701" ht="15.75" customHeight="1">
      <c r="G701" s="44"/>
      <c r="H701" s="44"/>
      <c r="I701" s="44"/>
      <c r="J701" s="44"/>
    </row>
    <row r="702" ht="15.75" customHeight="1">
      <c r="G702" s="44"/>
      <c r="H702" s="44"/>
      <c r="I702" s="44"/>
      <c r="J702" s="44"/>
    </row>
    <row r="703" ht="15.75" customHeight="1">
      <c r="G703" s="44"/>
      <c r="H703" s="44"/>
      <c r="I703" s="44"/>
      <c r="J703" s="44"/>
    </row>
    <row r="704" ht="15.75" customHeight="1">
      <c r="G704" s="44"/>
      <c r="H704" s="44"/>
      <c r="I704" s="44"/>
      <c r="J704" s="44"/>
    </row>
    <row r="705" ht="15.75" customHeight="1">
      <c r="G705" s="44"/>
      <c r="H705" s="44"/>
      <c r="I705" s="44"/>
      <c r="J705" s="44"/>
    </row>
    <row r="706" ht="15.75" customHeight="1">
      <c r="G706" s="44"/>
      <c r="H706" s="44"/>
      <c r="I706" s="44"/>
      <c r="J706" s="44"/>
    </row>
    <row r="707" ht="15.75" customHeight="1">
      <c r="G707" s="44"/>
      <c r="H707" s="44"/>
      <c r="I707" s="44"/>
      <c r="J707" s="44"/>
    </row>
    <row r="708" ht="15.75" customHeight="1">
      <c r="G708" s="44"/>
      <c r="H708" s="44"/>
      <c r="I708" s="44"/>
      <c r="J708" s="44"/>
    </row>
    <row r="709" ht="15.75" customHeight="1">
      <c r="G709" s="44"/>
      <c r="H709" s="44"/>
      <c r="I709" s="44"/>
      <c r="J709" s="44"/>
    </row>
    <row r="710" ht="15.75" customHeight="1">
      <c r="G710" s="44"/>
      <c r="H710" s="44"/>
      <c r="I710" s="44"/>
      <c r="J710" s="44"/>
    </row>
    <row r="711" ht="15.75" customHeight="1">
      <c r="G711" s="44"/>
      <c r="H711" s="44"/>
      <c r="I711" s="44"/>
      <c r="J711" s="44"/>
    </row>
    <row r="712" ht="15.75" customHeight="1">
      <c r="G712" s="44"/>
      <c r="H712" s="44"/>
      <c r="I712" s="44"/>
      <c r="J712" s="44"/>
    </row>
    <row r="713" ht="15.75" customHeight="1">
      <c r="G713" s="44"/>
      <c r="H713" s="44"/>
      <c r="I713" s="44"/>
      <c r="J713" s="44"/>
    </row>
    <row r="714" ht="15.75" customHeight="1">
      <c r="G714" s="44"/>
      <c r="H714" s="44"/>
      <c r="I714" s="44"/>
      <c r="J714" s="44"/>
    </row>
    <row r="715" ht="15.75" customHeight="1">
      <c r="G715" s="44"/>
      <c r="H715" s="44"/>
      <c r="I715" s="44"/>
      <c r="J715" s="44"/>
    </row>
    <row r="716" ht="15.75" customHeight="1">
      <c r="G716" s="44"/>
      <c r="H716" s="44"/>
      <c r="I716" s="44"/>
      <c r="J716" s="44"/>
    </row>
    <row r="717" ht="15.75" customHeight="1">
      <c r="G717" s="44"/>
      <c r="H717" s="44"/>
      <c r="I717" s="44"/>
      <c r="J717" s="44"/>
    </row>
    <row r="718" ht="15.75" customHeight="1">
      <c r="G718" s="44"/>
      <c r="H718" s="44"/>
      <c r="I718" s="44"/>
      <c r="J718" s="44"/>
    </row>
    <row r="719" ht="15.75" customHeight="1">
      <c r="G719" s="44"/>
      <c r="H719" s="44"/>
      <c r="I719" s="44"/>
      <c r="J719" s="44"/>
    </row>
    <row r="720" ht="15.75" customHeight="1">
      <c r="G720" s="44"/>
      <c r="H720" s="44"/>
      <c r="I720" s="44"/>
      <c r="J720" s="44"/>
    </row>
    <row r="721" ht="15.75" customHeight="1">
      <c r="G721" s="44"/>
      <c r="H721" s="44"/>
      <c r="I721" s="44"/>
      <c r="J721" s="44"/>
    </row>
    <row r="722" ht="15.75" customHeight="1">
      <c r="G722" s="44"/>
      <c r="H722" s="44"/>
      <c r="I722" s="44"/>
      <c r="J722" s="44"/>
    </row>
    <row r="723" ht="15.75" customHeight="1">
      <c r="G723" s="44"/>
      <c r="H723" s="44"/>
      <c r="I723" s="44"/>
      <c r="J723" s="44"/>
    </row>
    <row r="724" ht="15.75" customHeight="1">
      <c r="G724" s="44"/>
      <c r="H724" s="44"/>
      <c r="I724" s="44"/>
      <c r="J724" s="44"/>
    </row>
    <row r="725" ht="15.75" customHeight="1">
      <c r="G725" s="44"/>
      <c r="H725" s="44"/>
      <c r="I725" s="44"/>
      <c r="J725" s="44"/>
    </row>
    <row r="726" ht="15.75" customHeight="1">
      <c r="G726" s="44"/>
      <c r="H726" s="44"/>
      <c r="I726" s="44"/>
      <c r="J726" s="44"/>
    </row>
    <row r="727" ht="15.75" customHeight="1">
      <c r="G727" s="44"/>
      <c r="H727" s="44"/>
      <c r="I727" s="44"/>
      <c r="J727" s="44"/>
    </row>
    <row r="728" ht="15.75" customHeight="1">
      <c r="G728" s="44"/>
      <c r="H728" s="44"/>
      <c r="I728" s="44"/>
      <c r="J728" s="44"/>
    </row>
    <row r="729" ht="15.75" customHeight="1">
      <c r="G729" s="44"/>
      <c r="H729" s="44"/>
      <c r="I729" s="44"/>
      <c r="J729" s="44"/>
    </row>
    <row r="730" ht="15.75" customHeight="1">
      <c r="G730" s="44"/>
      <c r="H730" s="44"/>
      <c r="I730" s="44"/>
      <c r="J730" s="44"/>
    </row>
    <row r="731" ht="15.75" customHeight="1">
      <c r="G731" s="44"/>
      <c r="H731" s="44"/>
      <c r="I731" s="44"/>
      <c r="J731" s="44"/>
    </row>
    <row r="732" ht="15.75" customHeight="1">
      <c r="G732" s="44"/>
      <c r="H732" s="44"/>
      <c r="I732" s="44"/>
      <c r="J732" s="44"/>
    </row>
    <row r="733" ht="15.75" customHeight="1">
      <c r="G733" s="44"/>
      <c r="H733" s="44"/>
      <c r="I733" s="44"/>
      <c r="J733" s="44"/>
    </row>
    <row r="734" ht="15.75" customHeight="1">
      <c r="G734" s="44"/>
      <c r="H734" s="44"/>
      <c r="I734" s="44"/>
      <c r="J734" s="44"/>
    </row>
    <row r="735" ht="15.75" customHeight="1">
      <c r="G735" s="44"/>
      <c r="H735" s="44"/>
      <c r="I735" s="44"/>
      <c r="J735" s="44"/>
    </row>
    <row r="736" ht="15.75" customHeight="1">
      <c r="G736" s="44"/>
      <c r="H736" s="44"/>
      <c r="I736" s="44"/>
      <c r="J736" s="44"/>
    </row>
    <row r="737" ht="15.75" customHeight="1">
      <c r="G737" s="44"/>
      <c r="H737" s="44"/>
      <c r="I737" s="44"/>
      <c r="J737" s="44"/>
    </row>
    <row r="738" ht="15.75" customHeight="1">
      <c r="G738" s="44"/>
      <c r="H738" s="44"/>
      <c r="I738" s="44"/>
      <c r="J738" s="44"/>
    </row>
    <row r="739" ht="15.75" customHeight="1">
      <c r="G739" s="44"/>
      <c r="H739" s="44"/>
      <c r="I739" s="44"/>
      <c r="J739" s="44"/>
    </row>
    <row r="740" ht="15.75" customHeight="1">
      <c r="G740" s="44"/>
      <c r="H740" s="44"/>
      <c r="I740" s="44"/>
      <c r="J740" s="44"/>
    </row>
    <row r="741" ht="15.75" customHeight="1">
      <c r="G741" s="44"/>
      <c r="H741" s="44"/>
      <c r="I741" s="44"/>
      <c r="J741" s="44"/>
    </row>
    <row r="742" ht="15.75" customHeight="1">
      <c r="G742" s="44"/>
      <c r="H742" s="44"/>
      <c r="I742" s="44"/>
      <c r="J742" s="44"/>
    </row>
    <row r="743" ht="15.75" customHeight="1">
      <c r="G743" s="44"/>
      <c r="H743" s="44"/>
      <c r="I743" s="44"/>
      <c r="J743" s="44"/>
    </row>
    <row r="744" ht="15.75" customHeight="1">
      <c r="G744" s="44"/>
      <c r="H744" s="44"/>
      <c r="I744" s="44"/>
      <c r="J744" s="44"/>
    </row>
    <row r="745" ht="15.75" customHeight="1">
      <c r="G745" s="44"/>
      <c r="H745" s="44"/>
      <c r="I745" s="44"/>
      <c r="J745" s="44"/>
    </row>
    <row r="746" ht="15.75" customHeight="1">
      <c r="G746" s="44"/>
      <c r="H746" s="44"/>
      <c r="I746" s="44"/>
      <c r="J746" s="44"/>
    </row>
    <row r="747" ht="15.75" customHeight="1">
      <c r="G747" s="44"/>
      <c r="H747" s="44"/>
      <c r="I747" s="44"/>
      <c r="J747" s="44"/>
    </row>
    <row r="748" ht="15.75" customHeight="1">
      <c r="G748" s="44"/>
      <c r="H748" s="44"/>
      <c r="I748" s="44"/>
      <c r="J748" s="44"/>
    </row>
    <row r="749" ht="15.75" customHeight="1">
      <c r="G749" s="44"/>
      <c r="H749" s="44"/>
      <c r="I749" s="44"/>
      <c r="J749" s="44"/>
    </row>
    <row r="750" ht="15.75" customHeight="1">
      <c r="G750" s="44"/>
      <c r="H750" s="44"/>
      <c r="I750" s="44"/>
      <c r="J750" s="44"/>
    </row>
    <row r="751" ht="15.75" customHeight="1">
      <c r="G751" s="44"/>
      <c r="H751" s="44"/>
      <c r="I751" s="44"/>
      <c r="J751" s="44"/>
    </row>
    <row r="752" ht="15.75" customHeight="1">
      <c r="G752" s="44"/>
      <c r="H752" s="44"/>
      <c r="I752" s="44"/>
      <c r="J752" s="44"/>
    </row>
    <row r="753" ht="15.75" customHeight="1">
      <c r="G753" s="44"/>
      <c r="H753" s="44"/>
      <c r="I753" s="44"/>
      <c r="J753" s="44"/>
    </row>
    <row r="754" ht="15.75" customHeight="1">
      <c r="G754" s="44"/>
      <c r="H754" s="44"/>
      <c r="I754" s="44"/>
      <c r="J754" s="44"/>
    </row>
    <row r="755" ht="15.75" customHeight="1">
      <c r="G755" s="44"/>
      <c r="H755" s="44"/>
      <c r="I755" s="44"/>
      <c r="J755" s="44"/>
    </row>
    <row r="756" ht="15.75" customHeight="1">
      <c r="G756" s="44"/>
      <c r="H756" s="44"/>
      <c r="I756" s="44"/>
      <c r="J756" s="44"/>
    </row>
    <row r="757" ht="15.75" customHeight="1">
      <c r="G757" s="44"/>
      <c r="H757" s="44"/>
      <c r="I757" s="44"/>
      <c r="J757" s="44"/>
    </row>
    <row r="758" ht="15.75" customHeight="1">
      <c r="G758" s="44"/>
      <c r="H758" s="44"/>
      <c r="I758" s="44"/>
      <c r="J758" s="44"/>
    </row>
    <row r="759" ht="15.75" customHeight="1">
      <c r="G759" s="44"/>
      <c r="H759" s="44"/>
      <c r="I759" s="44"/>
      <c r="J759" s="44"/>
    </row>
    <row r="760" ht="15.75" customHeight="1">
      <c r="G760" s="44"/>
      <c r="H760" s="44"/>
      <c r="I760" s="44"/>
      <c r="J760" s="44"/>
    </row>
    <row r="761" ht="15.75" customHeight="1">
      <c r="G761" s="44"/>
      <c r="H761" s="44"/>
      <c r="I761" s="44"/>
      <c r="J761" s="44"/>
    </row>
    <row r="762" ht="15.75" customHeight="1">
      <c r="G762" s="44"/>
      <c r="H762" s="44"/>
      <c r="I762" s="44"/>
      <c r="J762" s="44"/>
    </row>
    <row r="763" ht="15.75" customHeight="1">
      <c r="G763" s="44"/>
      <c r="H763" s="44"/>
      <c r="I763" s="44"/>
      <c r="J763" s="44"/>
    </row>
    <row r="764" ht="15.75" customHeight="1">
      <c r="G764" s="44"/>
      <c r="H764" s="44"/>
      <c r="I764" s="44"/>
      <c r="J764" s="44"/>
    </row>
    <row r="765" ht="15.75" customHeight="1">
      <c r="G765" s="44"/>
      <c r="H765" s="44"/>
      <c r="I765" s="44"/>
      <c r="J765" s="44"/>
    </row>
    <row r="766" ht="15.75" customHeight="1">
      <c r="G766" s="44"/>
      <c r="H766" s="44"/>
      <c r="I766" s="44"/>
      <c r="J766" s="44"/>
    </row>
    <row r="767" ht="15.75" customHeight="1">
      <c r="G767" s="44"/>
      <c r="H767" s="44"/>
      <c r="I767" s="44"/>
      <c r="J767" s="44"/>
    </row>
    <row r="768" ht="15.75" customHeight="1">
      <c r="G768" s="44"/>
      <c r="H768" s="44"/>
      <c r="I768" s="44"/>
      <c r="J768" s="44"/>
    </row>
    <row r="769" ht="15.75" customHeight="1">
      <c r="G769" s="44"/>
      <c r="H769" s="44"/>
      <c r="I769" s="44"/>
      <c r="J769" s="44"/>
    </row>
    <row r="770" ht="15.75" customHeight="1">
      <c r="G770" s="44"/>
      <c r="H770" s="44"/>
      <c r="I770" s="44"/>
      <c r="J770" s="44"/>
    </row>
    <row r="771" ht="15.75" customHeight="1">
      <c r="G771" s="44"/>
      <c r="H771" s="44"/>
      <c r="I771" s="44"/>
      <c r="J771" s="44"/>
    </row>
    <row r="772" ht="15.75" customHeight="1">
      <c r="G772" s="44"/>
      <c r="H772" s="44"/>
      <c r="I772" s="44"/>
      <c r="J772" s="44"/>
    </row>
    <row r="773" ht="15.75" customHeight="1">
      <c r="G773" s="44"/>
      <c r="H773" s="44"/>
      <c r="I773" s="44"/>
      <c r="J773" s="44"/>
    </row>
    <row r="774" ht="15.75" customHeight="1">
      <c r="G774" s="44"/>
      <c r="H774" s="44"/>
      <c r="I774" s="44"/>
      <c r="J774" s="44"/>
    </row>
    <row r="775" ht="15.75" customHeight="1">
      <c r="G775" s="44"/>
      <c r="H775" s="44"/>
      <c r="I775" s="44"/>
      <c r="J775" s="44"/>
    </row>
    <row r="776" ht="15.75" customHeight="1">
      <c r="G776" s="44"/>
      <c r="H776" s="44"/>
      <c r="I776" s="44"/>
      <c r="J776" s="44"/>
    </row>
    <row r="777" ht="15.75" customHeight="1">
      <c r="G777" s="44"/>
      <c r="H777" s="44"/>
      <c r="I777" s="44"/>
      <c r="J777" s="44"/>
    </row>
    <row r="778" ht="15.75" customHeight="1">
      <c r="G778" s="44"/>
      <c r="H778" s="44"/>
      <c r="I778" s="44"/>
      <c r="J778" s="44"/>
    </row>
    <row r="779" ht="15.75" customHeight="1">
      <c r="G779" s="44"/>
      <c r="H779" s="44"/>
      <c r="I779" s="44"/>
      <c r="J779" s="44"/>
    </row>
    <row r="780" ht="15.75" customHeight="1">
      <c r="G780" s="44"/>
      <c r="H780" s="44"/>
      <c r="I780" s="44"/>
      <c r="J780" s="44"/>
    </row>
    <row r="781" ht="15.75" customHeight="1">
      <c r="G781" s="44"/>
      <c r="H781" s="44"/>
      <c r="I781" s="44"/>
      <c r="J781" s="44"/>
    </row>
    <row r="782" ht="15.75" customHeight="1">
      <c r="G782" s="44"/>
      <c r="H782" s="44"/>
      <c r="I782" s="44"/>
      <c r="J782" s="44"/>
    </row>
    <row r="783" ht="15.75" customHeight="1">
      <c r="G783" s="44"/>
      <c r="H783" s="44"/>
      <c r="I783" s="44"/>
      <c r="J783" s="44"/>
    </row>
    <row r="784" ht="15.75" customHeight="1">
      <c r="G784" s="44"/>
      <c r="H784" s="44"/>
      <c r="I784" s="44"/>
      <c r="J784" s="44"/>
    </row>
    <row r="785" ht="15.75" customHeight="1">
      <c r="G785" s="44"/>
      <c r="H785" s="44"/>
      <c r="I785" s="44"/>
      <c r="J785" s="44"/>
    </row>
    <row r="786" ht="15.75" customHeight="1">
      <c r="G786" s="44"/>
      <c r="H786" s="44"/>
      <c r="I786" s="44"/>
      <c r="J786" s="44"/>
    </row>
    <row r="787" ht="15.75" customHeight="1">
      <c r="G787" s="44"/>
      <c r="H787" s="44"/>
      <c r="I787" s="44"/>
      <c r="J787" s="44"/>
    </row>
    <row r="788" ht="15.75" customHeight="1">
      <c r="G788" s="44"/>
      <c r="H788" s="44"/>
      <c r="I788" s="44"/>
      <c r="J788" s="44"/>
    </row>
    <row r="789" ht="15.75" customHeight="1">
      <c r="G789" s="44"/>
      <c r="H789" s="44"/>
      <c r="I789" s="44"/>
      <c r="J789" s="44"/>
    </row>
    <row r="790" ht="15.75" customHeight="1">
      <c r="G790" s="44"/>
      <c r="H790" s="44"/>
      <c r="I790" s="44"/>
      <c r="J790" s="44"/>
    </row>
    <row r="791" ht="15.75" customHeight="1">
      <c r="G791" s="44"/>
      <c r="H791" s="44"/>
      <c r="I791" s="44"/>
      <c r="J791" s="44"/>
    </row>
    <row r="792" ht="15.75" customHeight="1">
      <c r="G792" s="44"/>
      <c r="H792" s="44"/>
      <c r="I792" s="44"/>
      <c r="J792" s="44"/>
    </row>
    <row r="793" ht="15.75" customHeight="1">
      <c r="G793" s="44"/>
      <c r="H793" s="44"/>
      <c r="I793" s="44"/>
      <c r="J793" s="44"/>
    </row>
    <row r="794" ht="15.75" customHeight="1">
      <c r="G794" s="44"/>
      <c r="H794" s="44"/>
      <c r="I794" s="44"/>
      <c r="J794" s="44"/>
    </row>
    <row r="795" ht="15.75" customHeight="1">
      <c r="G795" s="44"/>
      <c r="H795" s="44"/>
      <c r="I795" s="44"/>
      <c r="J795" s="44"/>
    </row>
    <row r="796" ht="15.75" customHeight="1">
      <c r="G796" s="44"/>
      <c r="H796" s="44"/>
      <c r="I796" s="44"/>
      <c r="J796" s="44"/>
    </row>
    <row r="797" ht="15.75" customHeight="1">
      <c r="G797" s="44"/>
      <c r="H797" s="44"/>
      <c r="I797" s="44"/>
      <c r="J797" s="44"/>
    </row>
    <row r="798" ht="15.75" customHeight="1">
      <c r="G798" s="44"/>
      <c r="H798" s="44"/>
      <c r="I798" s="44"/>
      <c r="J798" s="44"/>
    </row>
    <row r="799" ht="15.75" customHeight="1">
      <c r="G799" s="44"/>
      <c r="H799" s="44"/>
      <c r="I799" s="44"/>
      <c r="J799" s="44"/>
    </row>
    <row r="800" ht="15.75" customHeight="1">
      <c r="G800" s="44"/>
      <c r="H800" s="44"/>
      <c r="I800" s="44"/>
      <c r="J800" s="44"/>
    </row>
    <row r="801" ht="15.75" customHeight="1">
      <c r="G801" s="44"/>
      <c r="H801" s="44"/>
      <c r="I801" s="44"/>
      <c r="J801" s="44"/>
    </row>
    <row r="802" ht="15.75" customHeight="1">
      <c r="G802" s="44"/>
      <c r="H802" s="44"/>
      <c r="I802" s="44"/>
      <c r="J802" s="44"/>
    </row>
    <row r="803" ht="15.75" customHeight="1">
      <c r="G803" s="44"/>
      <c r="H803" s="44"/>
      <c r="I803" s="44"/>
      <c r="J803" s="44"/>
    </row>
    <row r="804" ht="15.75" customHeight="1">
      <c r="G804" s="44"/>
      <c r="H804" s="44"/>
      <c r="I804" s="44"/>
      <c r="J804" s="44"/>
    </row>
    <row r="805" ht="15.75" customHeight="1">
      <c r="G805" s="44"/>
      <c r="H805" s="44"/>
      <c r="I805" s="44"/>
      <c r="J805" s="44"/>
    </row>
    <row r="806" ht="15.75" customHeight="1">
      <c r="G806" s="44"/>
      <c r="H806" s="44"/>
      <c r="I806" s="44"/>
      <c r="J806" s="44"/>
    </row>
    <row r="807" ht="15.75" customHeight="1">
      <c r="G807" s="44"/>
      <c r="H807" s="44"/>
      <c r="I807" s="44"/>
      <c r="J807" s="44"/>
    </row>
    <row r="808" ht="15.75" customHeight="1">
      <c r="G808" s="44"/>
      <c r="H808" s="44"/>
      <c r="I808" s="44"/>
      <c r="J808" s="44"/>
    </row>
    <row r="809" ht="15.75" customHeight="1">
      <c r="G809" s="44"/>
      <c r="H809" s="44"/>
      <c r="I809" s="44"/>
      <c r="J809" s="44"/>
    </row>
    <row r="810" ht="15.75" customHeight="1">
      <c r="G810" s="44"/>
      <c r="H810" s="44"/>
      <c r="I810" s="44"/>
      <c r="J810" s="44"/>
    </row>
    <row r="811" ht="15.75" customHeight="1">
      <c r="G811" s="44"/>
      <c r="H811" s="44"/>
      <c r="I811" s="44"/>
      <c r="J811" s="44"/>
    </row>
    <row r="812" ht="15.75" customHeight="1">
      <c r="G812" s="44"/>
      <c r="H812" s="44"/>
      <c r="I812" s="44"/>
      <c r="J812" s="44"/>
    </row>
    <row r="813" ht="15.75" customHeight="1">
      <c r="G813" s="44"/>
      <c r="H813" s="44"/>
      <c r="I813" s="44"/>
      <c r="J813" s="44"/>
    </row>
    <row r="814" ht="15.75" customHeight="1">
      <c r="G814" s="44"/>
      <c r="H814" s="44"/>
      <c r="I814" s="44"/>
      <c r="J814" s="44"/>
    </row>
    <row r="815" ht="15.75" customHeight="1">
      <c r="G815" s="44"/>
      <c r="H815" s="44"/>
      <c r="I815" s="44"/>
      <c r="J815" s="44"/>
    </row>
    <row r="816" ht="15.75" customHeight="1">
      <c r="G816" s="44"/>
      <c r="H816" s="44"/>
      <c r="I816" s="44"/>
      <c r="J816" s="44"/>
    </row>
    <row r="817" ht="15.75" customHeight="1">
      <c r="G817" s="44"/>
      <c r="H817" s="44"/>
      <c r="I817" s="44"/>
      <c r="J817" s="44"/>
    </row>
    <row r="818" ht="15.75" customHeight="1">
      <c r="G818" s="44"/>
      <c r="H818" s="44"/>
      <c r="I818" s="44"/>
      <c r="J818" s="44"/>
    </row>
    <row r="819" ht="15.75" customHeight="1">
      <c r="G819" s="44"/>
      <c r="H819" s="44"/>
      <c r="I819" s="44"/>
      <c r="J819" s="44"/>
    </row>
    <row r="820" ht="15.75" customHeight="1">
      <c r="G820" s="44"/>
      <c r="H820" s="44"/>
      <c r="I820" s="44"/>
      <c r="J820" s="44"/>
    </row>
    <row r="821" ht="15.75" customHeight="1">
      <c r="G821" s="44"/>
      <c r="H821" s="44"/>
      <c r="I821" s="44"/>
      <c r="J821" s="44"/>
    </row>
    <row r="822" ht="15.75" customHeight="1">
      <c r="G822" s="44"/>
      <c r="H822" s="44"/>
      <c r="I822" s="44"/>
      <c r="J822" s="44"/>
    </row>
    <row r="823" ht="15.75" customHeight="1">
      <c r="G823" s="44"/>
      <c r="H823" s="44"/>
      <c r="I823" s="44"/>
      <c r="J823" s="44"/>
    </row>
    <row r="824" ht="15.75" customHeight="1">
      <c r="G824" s="44"/>
      <c r="H824" s="44"/>
      <c r="I824" s="44"/>
      <c r="J824" s="44"/>
    </row>
    <row r="825" ht="15.75" customHeight="1">
      <c r="G825" s="44"/>
      <c r="H825" s="44"/>
      <c r="I825" s="44"/>
      <c r="J825" s="44"/>
    </row>
    <row r="826" ht="15.75" customHeight="1">
      <c r="G826" s="44"/>
      <c r="H826" s="44"/>
      <c r="I826" s="44"/>
      <c r="J826" s="44"/>
    </row>
    <row r="827" ht="15.75" customHeight="1">
      <c r="G827" s="44"/>
      <c r="H827" s="44"/>
      <c r="I827" s="44"/>
      <c r="J827" s="44"/>
    </row>
    <row r="828" ht="15.75" customHeight="1">
      <c r="G828" s="44"/>
      <c r="H828" s="44"/>
      <c r="I828" s="44"/>
      <c r="J828" s="44"/>
    </row>
    <row r="829" ht="15.75" customHeight="1">
      <c r="G829" s="44"/>
      <c r="H829" s="44"/>
      <c r="I829" s="44"/>
      <c r="J829" s="44"/>
    </row>
    <row r="830" ht="15.75" customHeight="1">
      <c r="G830" s="44"/>
      <c r="H830" s="44"/>
      <c r="I830" s="44"/>
      <c r="J830" s="44"/>
    </row>
    <row r="831" ht="15.75" customHeight="1">
      <c r="G831" s="44"/>
      <c r="H831" s="44"/>
      <c r="I831" s="44"/>
      <c r="J831" s="44"/>
    </row>
    <row r="832" ht="15.75" customHeight="1">
      <c r="G832" s="44"/>
      <c r="H832" s="44"/>
      <c r="I832" s="44"/>
      <c r="J832" s="44"/>
    </row>
    <row r="833" ht="15.75" customHeight="1">
      <c r="G833" s="44"/>
      <c r="H833" s="44"/>
      <c r="I833" s="44"/>
      <c r="J833" s="44"/>
    </row>
    <row r="834" ht="15.75" customHeight="1">
      <c r="G834" s="44"/>
      <c r="H834" s="44"/>
      <c r="I834" s="44"/>
      <c r="J834" s="44"/>
    </row>
    <row r="835" ht="15.75" customHeight="1">
      <c r="G835" s="44"/>
      <c r="H835" s="44"/>
      <c r="I835" s="44"/>
      <c r="J835" s="44"/>
    </row>
    <row r="836" ht="15.75" customHeight="1">
      <c r="G836" s="44"/>
      <c r="H836" s="44"/>
      <c r="I836" s="44"/>
      <c r="J836" s="44"/>
    </row>
    <row r="837" ht="15.75" customHeight="1">
      <c r="G837" s="44"/>
      <c r="H837" s="44"/>
      <c r="I837" s="44"/>
      <c r="J837" s="44"/>
    </row>
    <row r="838" ht="15.75" customHeight="1">
      <c r="G838" s="44"/>
      <c r="H838" s="44"/>
      <c r="I838" s="44"/>
      <c r="J838" s="44"/>
    </row>
    <row r="839" ht="15.75" customHeight="1">
      <c r="G839" s="44"/>
      <c r="H839" s="44"/>
      <c r="I839" s="44"/>
      <c r="J839" s="44"/>
    </row>
    <row r="840" ht="15.75" customHeight="1">
      <c r="G840" s="44"/>
      <c r="H840" s="44"/>
      <c r="I840" s="44"/>
      <c r="J840" s="44"/>
    </row>
    <row r="841" ht="15.75" customHeight="1">
      <c r="G841" s="44"/>
      <c r="H841" s="44"/>
      <c r="I841" s="44"/>
      <c r="J841" s="44"/>
    </row>
    <row r="842" ht="15.75" customHeight="1">
      <c r="G842" s="44"/>
      <c r="H842" s="44"/>
      <c r="I842" s="44"/>
      <c r="J842" s="44"/>
    </row>
    <row r="843" ht="15.75" customHeight="1">
      <c r="G843" s="44"/>
      <c r="H843" s="44"/>
      <c r="I843" s="44"/>
      <c r="J843" s="44"/>
    </row>
    <row r="844" ht="15.75" customHeight="1">
      <c r="G844" s="44"/>
      <c r="H844" s="44"/>
      <c r="I844" s="44"/>
      <c r="J844" s="44"/>
    </row>
    <row r="845" ht="15.75" customHeight="1">
      <c r="G845" s="44"/>
      <c r="H845" s="44"/>
      <c r="I845" s="44"/>
      <c r="J845" s="44"/>
    </row>
    <row r="846" ht="15.75" customHeight="1">
      <c r="G846" s="44"/>
      <c r="H846" s="44"/>
      <c r="I846" s="44"/>
      <c r="J846" s="44"/>
    </row>
    <row r="847" ht="15.75" customHeight="1">
      <c r="G847" s="44"/>
      <c r="H847" s="44"/>
      <c r="I847" s="44"/>
      <c r="J847" s="44"/>
    </row>
    <row r="848" ht="15.75" customHeight="1">
      <c r="G848" s="44"/>
      <c r="H848" s="44"/>
      <c r="I848" s="44"/>
      <c r="J848" s="44"/>
    </row>
    <row r="849" ht="15.75" customHeight="1">
      <c r="G849" s="44"/>
      <c r="H849" s="44"/>
      <c r="I849" s="44"/>
      <c r="J849" s="44"/>
    </row>
    <row r="850" ht="15.75" customHeight="1">
      <c r="G850" s="44"/>
      <c r="H850" s="44"/>
      <c r="I850" s="44"/>
      <c r="J850" s="44"/>
    </row>
    <row r="851" ht="15.75" customHeight="1">
      <c r="G851" s="44"/>
      <c r="H851" s="44"/>
      <c r="I851" s="44"/>
      <c r="J851" s="44"/>
    </row>
    <row r="852" ht="15.75" customHeight="1">
      <c r="G852" s="44"/>
      <c r="H852" s="44"/>
      <c r="I852" s="44"/>
      <c r="J852" s="44"/>
    </row>
    <row r="853" ht="15.75" customHeight="1">
      <c r="G853" s="44"/>
      <c r="H853" s="44"/>
      <c r="I853" s="44"/>
      <c r="J853" s="44"/>
    </row>
    <row r="854" ht="15.75" customHeight="1">
      <c r="G854" s="44"/>
      <c r="H854" s="44"/>
      <c r="I854" s="44"/>
      <c r="J854" s="44"/>
    </row>
    <row r="855" ht="15.75" customHeight="1">
      <c r="G855" s="44"/>
      <c r="H855" s="44"/>
      <c r="I855" s="44"/>
      <c r="J855" s="44"/>
    </row>
    <row r="856" ht="15.75" customHeight="1">
      <c r="G856" s="44"/>
      <c r="H856" s="44"/>
      <c r="I856" s="44"/>
      <c r="J856" s="44"/>
    </row>
    <row r="857" ht="15.75" customHeight="1">
      <c r="G857" s="44"/>
      <c r="H857" s="44"/>
      <c r="I857" s="44"/>
      <c r="J857" s="44"/>
    </row>
    <row r="858" ht="15.75" customHeight="1">
      <c r="G858" s="44"/>
      <c r="H858" s="44"/>
      <c r="I858" s="44"/>
      <c r="J858" s="44"/>
    </row>
    <row r="859" ht="15.75" customHeight="1">
      <c r="G859" s="44"/>
      <c r="H859" s="44"/>
      <c r="I859" s="44"/>
      <c r="J859" s="44"/>
    </row>
    <row r="860" ht="15.75" customHeight="1">
      <c r="G860" s="44"/>
      <c r="H860" s="44"/>
      <c r="I860" s="44"/>
      <c r="J860" s="44"/>
    </row>
    <row r="861" ht="15.75" customHeight="1">
      <c r="G861" s="44"/>
      <c r="H861" s="44"/>
      <c r="I861" s="44"/>
      <c r="J861" s="44"/>
    </row>
    <row r="862" ht="15.75" customHeight="1">
      <c r="G862" s="44"/>
      <c r="H862" s="44"/>
      <c r="I862" s="44"/>
      <c r="J862" s="44"/>
    </row>
    <row r="863" ht="15.75" customHeight="1">
      <c r="G863" s="44"/>
      <c r="H863" s="44"/>
      <c r="I863" s="44"/>
      <c r="J863" s="44"/>
    </row>
    <row r="864" ht="15.75" customHeight="1">
      <c r="G864" s="44"/>
      <c r="H864" s="44"/>
      <c r="I864" s="44"/>
      <c r="J864" s="44"/>
    </row>
    <row r="865" ht="15.75" customHeight="1">
      <c r="G865" s="44"/>
      <c r="H865" s="44"/>
      <c r="I865" s="44"/>
      <c r="J865" s="44"/>
    </row>
    <row r="866" ht="15.75" customHeight="1">
      <c r="G866" s="44"/>
      <c r="H866" s="44"/>
      <c r="I866" s="44"/>
      <c r="J866" s="44"/>
    </row>
    <row r="867" ht="15.75" customHeight="1">
      <c r="G867" s="44"/>
      <c r="H867" s="44"/>
      <c r="I867" s="44"/>
      <c r="J867" s="44"/>
    </row>
    <row r="868" ht="15.75" customHeight="1">
      <c r="G868" s="44"/>
      <c r="H868" s="44"/>
      <c r="I868" s="44"/>
      <c r="J868" s="44"/>
    </row>
    <row r="869" ht="15.75" customHeight="1">
      <c r="G869" s="44"/>
      <c r="H869" s="44"/>
      <c r="I869" s="44"/>
      <c r="J869" s="44"/>
    </row>
    <row r="870" ht="15.75" customHeight="1">
      <c r="G870" s="44"/>
      <c r="H870" s="44"/>
      <c r="I870" s="44"/>
      <c r="J870" s="44"/>
    </row>
    <row r="871" ht="15.75" customHeight="1">
      <c r="G871" s="44"/>
      <c r="H871" s="44"/>
      <c r="I871" s="44"/>
      <c r="J871" s="44"/>
    </row>
    <row r="872" ht="15.75" customHeight="1">
      <c r="G872" s="44"/>
      <c r="H872" s="44"/>
      <c r="I872" s="44"/>
      <c r="J872" s="44"/>
    </row>
    <row r="873" ht="15.75" customHeight="1">
      <c r="G873" s="44"/>
      <c r="H873" s="44"/>
      <c r="I873" s="44"/>
      <c r="J873" s="44"/>
    </row>
    <row r="874" ht="15.75" customHeight="1">
      <c r="G874" s="44"/>
      <c r="H874" s="44"/>
      <c r="I874" s="44"/>
      <c r="J874" s="44"/>
    </row>
    <row r="875" ht="15.75" customHeight="1">
      <c r="G875" s="44"/>
      <c r="H875" s="44"/>
      <c r="I875" s="44"/>
      <c r="J875" s="44"/>
    </row>
    <row r="876" ht="15.75" customHeight="1">
      <c r="G876" s="44"/>
      <c r="H876" s="44"/>
      <c r="I876" s="44"/>
      <c r="J876" s="44"/>
    </row>
    <row r="877" ht="15.75" customHeight="1">
      <c r="G877" s="44"/>
      <c r="H877" s="44"/>
      <c r="I877" s="44"/>
      <c r="J877" s="44"/>
    </row>
    <row r="878" ht="15.75" customHeight="1">
      <c r="G878" s="44"/>
      <c r="H878" s="44"/>
      <c r="I878" s="44"/>
      <c r="J878" s="44"/>
    </row>
    <row r="879" ht="15.75" customHeight="1">
      <c r="G879" s="44"/>
      <c r="H879" s="44"/>
      <c r="I879" s="44"/>
      <c r="J879" s="44"/>
    </row>
    <row r="880" ht="15.75" customHeight="1">
      <c r="G880" s="44"/>
      <c r="H880" s="44"/>
      <c r="I880" s="44"/>
      <c r="J880" s="44"/>
    </row>
    <row r="881" ht="15.75" customHeight="1">
      <c r="G881" s="44"/>
      <c r="H881" s="44"/>
      <c r="I881" s="44"/>
      <c r="J881" s="44"/>
    </row>
    <row r="882" ht="15.75" customHeight="1">
      <c r="G882" s="44"/>
      <c r="H882" s="44"/>
      <c r="I882" s="44"/>
      <c r="J882" s="44"/>
    </row>
    <row r="883" ht="15.75" customHeight="1">
      <c r="G883" s="44"/>
      <c r="H883" s="44"/>
      <c r="I883" s="44"/>
      <c r="J883" s="44"/>
    </row>
    <row r="884" ht="15.75" customHeight="1">
      <c r="G884" s="44"/>
      <c r="H884" s="44"/>
      <c r="I884" s="44"/>
      <c r="J884" s="44"/>
    </row>
    <row r="885" ht="15.75" customHeight="1">
      <c r="G885" s="44"/>
      <c r="H885" s="44"/>
      <c r="I885" s="44"/>
      <c r="J885" s="44"/>
    </row>
    <row r="886" ht="15.75" customHeight="1">
      <c r="G886" s="44"/>
      <c r="H886" s="44"/>
      <c r="I886" s="44"/>
      <c r="J886" s="44"/>
    </row>
    <row r="887" ht="15.75" customHeight="1">
      <c r="G887" s="44"/>
      <c r="H887" s="44"/>
      <c r="I887" s="44"/>
      <c r="J887" s="44"/>
    </row>
    <row r="888" ht="15.75" customHeight="1">
      <c r="G888" s="44"/>
      <c r="H888" s="44"/>
      <c r="I888" s="44"/>
      <c r="J888" s="44"/>
    </row>
    <row r="889" ht="15.75" customHeight="1">
      <c r="G889" s="44"/>
      <c r="H889" s="44"/>
      <c r="I889" s="44"/>
      <c r="J889" s="44"/>
    </row>
    <row r="890" ht="15.75" customHeight="1">
      <c r="G890" s="44"/>
      <c r="H890" s="44"/>
      <c r="I890" s="44"/>
      <c r="J890" s="44"/>
    </row>
    <row r="891" ht="15.75" customHeight="1">
      <c r="G891" s="44"/>
      <c r="H891" s="44"/>
      <c r="I891" s="44"/>
      <c r="J891" s="44"/>
    </row>
    <row r="892" ht="15.75" customHeight="1">
      <c r="G892" s="44"/>
      <c r="H892" s="44"/>
      <c r="I892" s="44"/>
      <c r="J892" s="44"/>
    </row>
    <row r="893" ht="15.75" customHeight="1">
      <c r="G893" s="44"/>
      <c r="H893" s="44"/>
      <c r="I893" s="44"/>
      <c r="J893" s="44"/>
    </row>
    <row r="894" ht="15.75" customHeight="1">
      <c r="G894" s="44"/>
      <c r="H894" s="44"/>
      <c r="I894" s="44"/>
      <c r="J894" s="44"/>
    </row>
    <row r="895" ht="15.75" customHeight="1">
      <c r="G895" s="44"/>
      <c r="H895" s="44"/>
      <c r="I895" s="44"/>
      <c r="J895" s="44"/>
    </row>
    <row r="896" ht="15.75" customHeight="1">
      <c r="G896" s="44"/>
      <c r="H896" s="44"/>
      <c r="I896" s="44"/>
      <c r="J896" s="44"/>
    </row>
    <row r="897" ht="15.75" customHeight="1">
      <c r="G897" s="44"/>
      <c r="H897" s="44"/>
      <c r="I897" s="44"/>
      <c r="J897" s="44"/>
    </row>
    <row r="898" ht="15.75" customHeight="1">
      <c r="G898" s="44"/>
      <c r="H898" s="44"/>
      <c r="I898" s="44"/>
      <c r="J898" s="44"/>
    </row>
    <row r="899" ht="15.75" customHeight="1">
      <c r="G899" s="44"/>
      <c r="H899" s="44"/>
      <c r="I899" s="44"/>
      <c r="J899" s="44"/>
    </row>
    <row r="900" ht="15.75" customHeight="1">
      <c r="G900" s="44"/>
      <c r="H900" s="44"/>
      <c r="I900" s="44"/>
      <c r="J900" s="44"/>
    </row>
    <row r="901" ht="15.75" customHeight="1">
      <c r="G901" s="44"/>
      <c r="H901" s="44"/>
      <c r="I901" s="44"/>
      <c r="J901" s="44"/>
    </row>
    <row r="902" ht="15.75" customHeight="1">
      <c r="G902" s="44"/>
      <c r="H902" s="44"/>
      <c r="I902" s="44"/>
      <c r="J902" s="44"/>
    </row>
    <row r="903" ht="15.75" customHeight="1">
      <c r="G903" s="44"/>
      <c r="H903" s="44"/>
      <c r="I903" s="44"/>
      <c r="J903" s="44"/>
    </row>
    <row r="904" ht="15.75" customHeight="1">
      <c r="G904" s="44"/>
      <c r="H904" s="44"/>
      <c r="I904" s="44"/>
      <c r="J904" s="44"/>
    </row>
    <row r="905" ht="15.75" customHeight="1">
      <c r="G905" s="44"/>
      <c r="H905" s="44"/>
      <c r="I905" s="44"/>
      <c r="J905" s="44"/>
    </row>
    <row r="906" ht="15.75" customHeight="1">
      <c r="G906" s="44"/>
      <c r="H906" s="44"/>
      <c r="I906" s="44"/>
      <c r="J906" s="44"/>
    </row>
    <row r="907" ht="15.75" customHeight="1">
      <c r="G907" s="44"/>
      <c r="H907" s="44"/>
      <c r="I907" s="44"/>
      <c r="J907" s="44"/>
    </row>
    <row r="908" ht="15.75" customHeight="1">
      <c r="G908" s="44"/>
      <c r="H908" s="44"/>
      <c r="I908" s="44"/>
      <c r="J908" s="44"/>
    </row>
    <row r="909" ht="15.75" customHeight="1">
      <c r="G909" s="44"/>
      <c r="H909" s="44"/>
      <c r="I909" s="44"/>
      <c r="J909" s="44"/>
    </row>
    <row r="910" ht="15.75" customHeight="1">
      <c r="G910" s="44"/>
      <c r="H910" s="44"/>
      <c r="I910" s="44"/>
      <c r="J910" s="44"/>
    </row>
    <row r="911" ht="15.75" customHeight="1">
      <c r="G911" s="44"/>
      <c r="H911" s="44"/>
      <c r="I911" s="44"/>
      <c r="J911" s="44"/>
    </row>
    <row r="912" ht="15.75" customHeight="1">
      <c r="G912" s="44"/>
      <c r="H912" s="44"/>
      <c r="I912" s="44"/>
      <c r="J912" s="44"/>
    </row>
    <row r="913" ht="15.75" customHeight="1">
      <c r="G913" s="44"/>
      <c r="H913" s="44"/>
      <c r="I913" s="44"/>
      <c r="J913" s="44"/>
    </row>
    <row r="914" ht="15.75" customHeight="1">
      <c r="G914" s="44"/>
      <c r="H914" s="44"/>
      <c r="I914" s="44"/>
      <c r="J914" s="44"/>
    </row>
    <row r="915" ht="15.75" customHeight="1">
      <c r="G915" s="44"/>
      <c r="H915" s="44"/>
      <c r="I915" s="44"/>
      <c r="J915" s="44"/>
    </row>
    <row r="916" ht="15.75" customHeight="1">
      <c r="G916" s="44"/>
      <c r="H916" s="44"/>
      <c r="I916" s="44"/>
      <c r="J916" s="44"/>
    </row>
    <row r="917" ht="15.75" customHeight="1">
      <c r="G917" s="44"/>
      <c r="H917" s="44"/>
      <c r="I917" s="44"/>
      <c r="J917" s="44"/>
    </row>
    <row r="918" ht="15.75" customHeight="1">
      <c r="G918" s="44"/>
      <c r="H918" s="44"/>
      <c r="I918" s="44"/>
      <c r="J918" s="44"/>
    </row>
    <row r="919" ht="15.75" customHeight="1">
      <c r="G919" s="44"/>
      <c r="H919" s="44"/>
      <c r="I919" s="44"/>
      <c r="J919" s="44"/>
    </row>
    <row r="920" ht="15.75" customHeight="1">
      <c r="G920" s="44"/>
      <c r="H920" s="44"/>
      <c r="I920" s="44"/>
      <c r="J920" s="44"/>
    </row>
    <row r="921" ht="15.75" customHeight="1">
      <c r="G921" s="44"/>
      <c r="H921" s="44"/>
      <c r="I921" s="44"/>
      <c r="J921" s="44"/>
    </row>
    <row r="922" ht="15.75" customHeight="1">
      <c r="G922" s="44"/>
      <c r="H922" s="44"/>
      <c r="I922" s="44"/>
      <c r="J922" s="44"/>
    </row>
    <row r="923" ht="15.75" customHeight="1">
      <c r="G923" s="44"/>
      <c r="H923" s="44"/>
      <c r="I923" s="44"/>
      <c r="J923" s="44"/>
    </row>
    <row r="924" ht="15.75" customHeight="1">
      <c r="G924" s="44"/>
      <c r="H924" s="44"/>
      <c r="I924" s="44"/>
      <c r="J924" s="44"/>
    </row>
    <row r="925" ht="15.75" customHeight="1">
      <c r="G925" s="44"/>
      <c r="H925" s="44"/>
      <c r="I925" s="44"/>
      <c r="J925" s="44"/>
    </row>
    <row r="926" ht="15.75" customHeight="1">
      <c r="G926" s="44"/>
      <c r="H926" s="44"/>
      <c r="I926" s="44"/>
      <c r="J926" s="44"/>
    </row>
    <row r="927" ht="15.75" customHeight="1">
      <c r="G927" s="44"/>
      <c r="H927" s="44"/>
      <c r="I927" s="44"/>
      <c r="J927" s="44"/>
    </row>
    <row r="928" ht="15.75" customHeight="1">
      <c r="G928" s="44"/>
      <c r="H928" s="44"/>
      <c r="I928" s="44"/>
      <c r="J928" s="44"/>
    </row>
    <row r="929" ht="15.75" customHeight="1">
      <c r="G929" s="44"/>
      <c r="H929" s="44"/>
      <c r="I929" s="44"/>
      <c r="J929" s="44"/>
    </row>
    <row r="930" ht="15.75" customHeight="1">
      <c r="G930" s="44"/>
      <c r="H930" s="44"/>
      <c r="I930" s="44"/>
      <c r="J930" s="44"/>
    </row>
    <row r="931" ht="15.75" customHeight="1">
      <c r="G931" s="44"/>
      <c r="H931" s="44"/>
      <c r="I931" s="44"/>
      <c r="J931" s="44"/>
    </row>
    <row r="932" ht="15.75" customHeight="1">
      <c r="G932" s="44"/>
      <c r="H932" s="44"/>
      <c r="I932" s="44"/>
      <c r="J932" s="44"/>
    </row>
    <row r="933" ht="15.75" customHeight="1">
      <c r="G933" s="44"/>
      <c r="H933" s="44"/>
      <c r="I933" s="44"/>
      <c r="J933" s="44"/>
    </row>
    <row r="934" ht="15.75" customHeight="1">
      <c r="G934" s="44"/>
      <c r="H934" s="44"/>
      <c r="I934" s="44"/>
      <c r="J934" s="44"/>
    </row>
    <row r="935" ht="15.75" customHeight="1">
      <c r="G935" s="44"/>
      <c r="H935" s="44"/>
      <c r="I935" s="44"/>
      <c r="J935" s="44"/>
    </row>
    <row r="936" ht="15.75" customHeight="1">
      <c r="G936" s="44"/>
      <c r="H936" s="44"/>
      <c r="I936" s="44"/>
      <c r="J936" s="44"/>
    </row>
    <row r="937" ht="15.75" customHeight="1">
      <c r="G937" s="44"/>
      <c r="H937" s="44"/>
      <c r="I937" s="44"/>
      <c r="J937" s="44"/>
    </row>
    <row r="938" ht="15.75" customHeight="1">
      <c r="G938" s="44"/>
      <c r="H938" s="44"/>
      <c r="I938" s="44"/>
      <c r="J938" s="44"/>
    </row>
    <row r="939" ht="15.75" customHeight="1">
      <c r="G939" s="44"/>
      <c r="H939" s="44"/>
      <c r="I939" s="44"/>
      <c r="J939" s="44"/>
    </row>
    <row r="940" ht="15.75" customHeight="1">
      <c r="G940" s="44"/>
      <c r="H940" s="44"/>
      <c r="I940" s="44"/>
      <c r="J940" s="44"/>
    </row>
    <row r="941" ht="15.75" customHeight="1">
      <c r="G941" s="44"/>
      <c r="H941" s="44"/>
      <c r="I941" s="44"/>
      <c r="J941" s="44"/>
    </row>
    <row r="942" ht="15.75" customHeight="1">
      <c r="G942" s="44"/>
      <c r="H942" s="44"/>
      <c r="I942" s="44"/>
      <c r="J942" s="44"/>
    </row>
    <row r="943" ht="15.75" customHeight="1">
      <c r="G943" s="44"/>
      <c r="H943" s="44"/>
      <c r="I943" s="44"/>
      <c r="J943" s="44"/>
    </row>
    <row r="944" ht="15.75" customHeight="1">
      <c r="G944" s="44"/>
      <c r="H944" s="44"/>
      <c r="I944" s="44"/>
      <c r="J944" s="44"/>
    </row>
    <row r="945" ht="15.75" customHeight="1">
      <c r="G945" s="44"/>
      <c r="H945" s="44"/>
      <c r="I945" s="44"/>
      <c r="J945" s="44"/>
    </row>
    <row r="946" ht="15.75" customHeight="1">
      <c r="G946" s="44"/>
      <c r="H946" s="44"/>
      <c r="I946" s="44"/>
      <c r="J946" s="44"/>
    </row>
    <row r="947" ht="15.75" customHeight="1">
      <c r="G947" s="44"/>
      <c r="H947" s="44"/>
      <c r="I947" s="44"/>
      <c r="J947" s="44"/>
    </row>
    <row r="948" ht="15.75" customHeight="1">
      <c r="G948" s="44"/>
      <c r="H948" s="44"/>
      <c r="I948" s="44"/>
      <c r="J948" s="44"/>
    </row>
    <row r="949" ht="15.75" customHeight="1">
      <c r="G949" s="44"/>
      <c r="H949" s="44"/>
      <c r="I949" s="44"/>
      <c r="J949" s="44"/>
    </row>
    <row r="950" ht="15.75" customHeight="1">
      <c r="G950" s="44"/>
      <c r="H950" s="44"/>
      <c r="I950" s="44"/>
      <c r="J950" s="44"/>
    </row>
    <row r="951" ht="15.75" customHeight="1">
      <c r="G951" s="44"/>
      <c r="H951" s="44"/>
      <c r="I951" s="44"/>
      <c r="J951" s="44"/>
    </row>
    <row r="952" ht="15.75" customHeight="1">
      <c r="G952" s="44"/>
      <c r="H952" s="44"/>
      <c r="I952" s="44"/>
      <c r="J952" s="44"/>
    </row>
    <row r="953" ht="15.75" customHeight="1">
      <c r="G953" s="44"/>
      <c r="H953" s="44"/>
      <c r="I953" s="44"/>
      <c r="J953" s="44"/>
    </row>
    <row r="954" ht="15.75" customHeight="1">
      <c r="G954" s="44"/>
      <c r="H954" s="44"/>
      <c r="I954" s="44"/>
      <c r="J954" s="44"/>
    </row>
    <row r="955" ht="15.75" customHeight="1">
      <c r="G955" s="44"/>
      <c r="H955" s="44"/>
      <c r="I955" s="44"/>
      <c r="J955" s="44"/>
    </row>
    <row r="956" ht="15.75" customHeight="1">
      <c r="G956" s="44"/>
      <c r="H956" s="44"/>
      <c r="I956" s="44"/>
      <c r="J956" s="44"/>
    </row>
    <row r="957" ht="15.75" customHeight="1">
      <c r="G957" s="44"/>
      <c r="H957" s="44"/>
      <c r="I957" s="44"/>
      <c r="J957" s="44"/>
    </row>
    <row r="958" ht="15.75" customHeight="1">
      <c r="G958" s="44"/>
      <c r="H958" s="44"/>
      <c r="I958" s="44"/>
      <c r="J958" s="44"/>
    </row>
    <row r="959" ht="15.75" customHeight="1">
      <c r="G959" s="44"/>
      <c r="H959" s="44"/>
      <c r="I959" s="44"/>
      <c r="J959" s="44"/>
    </row>
    <row r="960" ht="15.75" customHeight="1">
      <c r="G960" s="44"/>
      <c r="H960" s="44"/>
      <c r="I960" s="44"/>
      <c r="J960" s="44"/>
    </row>
    <row r="961" ht="15.75" customHeight="1">
      <c r="G961" s="44"/>
      <c r="H961" s="44"/>
      <c r="I961" s="44"/>
      <c r="J961" s="44"/>
    </row>
    <row r="962" ht="15.75" customHeight="1">
      <c r="G962" s="44"/>
      <c r="H962" s="44"/>
      <c r="I962" s="44"/>
      <c r="J962" s="44"/>
    </row>
    <row r="963" ht="15.75" customHeight="1">
      <c r="G963" s="44"/>
      <c r="H963" s="44"/>
      <c r="I963" s="44"/>
      <c r="J963" s="44"/>
    </row>
    <row r="964" ht="15.75" customHeight="1">
      <c r="G964" s="44"/>
      <c r="H964" s="44"/>
      <c r="I964" s="44"/>
      <c r="J964" s="44"/>
    </row>
    <row r="965" ht="15.75" customHeight="1">
      <c r="G965" s="44"/>
      <c r="H965" s="44"/>
      <c r="I965" s="44"/>
      <c r="J965" s="44"/>
    </row>
    <row r="966" ht="15.75" customHeight="1">
      <c r="G966" s="44"/>
      <c r="H966" s="44"/>
      <c r="I966" s="44"/>
      <c r="J966" s="44"/>
    </row>
    <row r="967" ht="15.75" customHeight="1">
      <c r="G967" s="44"/>
      <c r="H967" s="44"/>
      <c r="I967" s="44"/>
      <c r="J967" s="44"/>
    </row>
    <row r="968" ht="15.75" customHeight="1">
      <c r="G968" s="44"/>
      <c r="H968" s="44"/>
      <c r="I968" s="44"/>
      <c r="J968" s="44"/>
    </row>
    <row r="969" ht="15.75" customHeight="1">
      <c r="G969" s="44"/>
      <c r="H969" s="44"/>
      <c r="I969" s="44"/>
      <c r="J969" s="44"/>
    </row>
    <row r="970" ht="15.75" customHeight="1">
      <c r="G970" s="44"/>
      <c r="H970" s="44"/>
      <c r="I970" s="44"/>
      <c r="J970" s="44"/>
    </row>
    <row r="971" ht="15.75" customHeight="1">
      <c r="G971" s="44"/>
      <c r="H971" s="44"/>
      <c r="I971" s="44"/>
      <c r="J971" s="44"/>
    </row>
    <row r="972" ht="15.75" customHeight="1">
      <c r="G972" s="44"/>
      <c r="H972" s="44"/>
      <c r="I972" s="44"/>
      <c r="J972" s="44"/>
    </row>
    <row r="973" ht="15.75" customHeight="1">
      <c r="G973" s="44"/>
      <c r="H973" s="44"/>
      <c r="I973" s="44"/>
      <c r="J973" s="44"/>
    </row>
    <row r="974" ht="15.75" customHeight="1">
      <c r="G974" s="44"/>
      <c r="H974" s="44"/>
      <c r="I974" s="44"/>
      <c r="J974" s="44"/>
    </row>
    <row r="975" ht="15.75" customHeight="1">
      <c r="G975" s="44"/>
      <c r="H975" s="44"/>
      <c r="I975" s="44"/>
      <c r="J975" s="44"/>
    </row>
    <row r="976" ht="15.75" customHeight="1">
      <c r="G976" s="44"/>
      <c r="H976" s="44"/>
      <c r="I976" s="44"/>
      <c r="J976" s="44"/>
    </row>
    <row r="977" ht="15.75" customHeight="1">
      <c r="G977" s="44"/>
      <c r="H977" s="44"/>
      <c r="I977" s="44"/>
      <c r="J977" s="44"/>
    </row>
    <row r="978" ht="15.75" customHeight="1">
      <c r="G978" s="44"/>
      <c r="H978" s="44"/>
      <c r="I978" s="44"/>
      <c r="J978" s="44"/>
    </row>
    <row r="979" ht="15.75" customHeight="1">
      <c r="G979" s="44"/>
      <c r="H979" s="44"/>
      <c r="I979" s="44"/>
      <c r="J979" s="44"/>
    </row>
    <row r="980" ht="15.75" customHeight="1">
      <c r="G980" s="44"/>
      <c r="H980" s="44"/>
      <c r="I980" s="44"/>
      <c r="J980" s="44"/>
    </row>
    <row r="981" ht="15.75" customHeight="1">
      <c r="G981" s="44"/>
      <c r="H981" s="44"/>
      <c r="I981" s="44"/>
      <c r="J981" s="44"/>
    </row>
    <row r="982" ht="15.75" customHeight="1">
      <c r="G982" s="44"/>
      <c r="H982" s="44"/>
      <c r="I982" s="44"/>
      <c r="J982" s="44"/>
    </row>
    <row r="983" ht="15.75" customHeight="1">
      <c r="G983" s="44"/>
      <c r="H983" s="44"/>
      <c r="I983" s="44"/>
      <c r="J983" s="44"/>
    </row>
    <row r="984" ht="15.75" customHeight="1">
      <c r="G984" s="44"/>
      <c r="H984" s="44"/>
      <c r="I984" s="44"/>
      <c r="J984" s="44"/>
    </row>
    <row r="985" ht="15.75" customHeight="1">
      <c r="G985" s="44"/>
      <c r="H985" s="44"/>
      <c r="I985" s="44"/>
      <c r="J985" s="44"/>
    </row>
    <row r="986" ht="15.75" customHeight="1">
      <c r="G986" s="44"/>
      <c r="H986" s="44"/>
      <c r="I986" s="44"/>
      <c r="J986" s="44"/>
    </row>
    <row r="987" ht="15.75" customHeight="1">
      <c r="G987" s="44"/>
      <c r="H987" s="44"/>
      <c r="I987" s="44"/>
      <c r="J987" s="44"/>
    </row>
    <row r="988" ht="15.75" customHeight="1">
      <c r="G988" s="44"/>
      <c r="H988" s="44"/>
      <c r="I988" s="44"/>
      <c r="J988" s="44"/>
    </row>
    <row r="989" ht="15.75" customHeight="1">
      <c r="G989" s="44"/>
      <c r="H989" s="44"/>
      <c r="I989" s="44"/>
      <c r="J989" s="44"/>
    </row>
    <row r="990" ht="15.75" customHeight="1">
      <c r="G990" s="44"/>
      <c r="H990" s="44"/>
      <c r="I990" s="44"/>
      <c r="J990" s="44"/>
    </row>
    <row r="991" ht="15.75" customHeight="1">
      <c r="G991" s="44"/>
      <c r="H991" s="44"/>
      <c r="I991" s="44"/>
      <c r="J991" s="44"/>
    </row>
    <row r="992" ht="15.75" customHeight="1">
      <c r="G992" s="44"/>
      <c r="H992" s="44"/>
      <c r="I992" s="44"/>
      <c r="J992" s="44"/>
    </row>
    <row r="993" ht="15.75" customHeight="1">
      <c r="G993" s="44"/>
      <c r="H993" s="44"/>
      <c r="I993" s="44"/>
      <c r="J993" s="44"/>
    </row>
    <row r="994" ht="15.75" customHeight="1">
      <c r="G994" s="44"/>
      <c r="H994" s="44"/>
      <c r="I994" s="44"/>
      <c r="J994" s="44"/>
    </row>
    <row r="995" ht="15.75" customHeight="1">
      <c r="G995" s="44"/>
      <c r="H995" s="44"/>
      <c r="I995" s="44"/>
      <c r="J995" s="44"/>
    </row>
    <row r="996" ht="15.75" customHeight="1">
      <c r="G996" s="44"/>
      <c r="H996" s="44"/>
      <c r="I996" s="44"/>
      <c r="J996" s="44"/>
    </row>
    <row r="997" ht="15.75" customHeight="1">
      <c r="G997" s="44"/>
      <c r="H997" s="44"/>
      <c r="I997" s="44"/>
      <c r="J997" s="44"/>
    </row>
    <row r="998" ht="15.75" customHeight="1">
      <c r="G998" s="44"/>
      <c r="H998" s="44"/>
      <c r="I998" s="44"/>
      <c r="J998" s="44"/>
    </row>
    <row r="999" ht="15.75" customHeight="1">
      <c r="G999" s="44"/>
      <c r="H999" s="44"/>
      <c r="I999" s="44"/>
      <c r="J999" s="44"/>
    </row>
    <row r="1000" ht="15.75" customHeight="1">
      <c r="G1000" s="44"/>
      <c r="H1000" s="44"/>
      <c r="I1000" s="44"/>
      <c r="J1000" s="44"/>
    </row>
  </sheetData>
  <mergeCells count="3">
    <mergeCell ref="A2:E2"/>
    <mergeCell ref="F5:M5"/>
    <mergeCell ref="N5:U5"/>
  </mergeCells>
  <dataValidations>
    <dataValidation type="custom" allowBlank="1" showErrorMessage="1" sqref="F7:J7 V7:W7 G8:J1000">
      <formula1>LT(LEN(F7),(31))</formula1>
    </dataValidation>
  </dataValidations>
  <printOptions/>
  <pageMargins bottom="0.75" footer="0.0" header="0.0" left="0.7" right="0.7" top="0.75"/>
  <pageSetup orientation="portrait"/>
  <drawing r:id="rId1"/>
</worksheet>
</file>